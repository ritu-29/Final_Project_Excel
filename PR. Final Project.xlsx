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Ritu\Desktop\EXCEL_FILES\EXCEL PROJECT\"/>
    </mc:Choice>
  </mc:AlternateContent>
  <xr:revisionPtr revIDLastSave="0" documentId="8_{20020B60-3660-43F1-A5E9-05F2D23E8BCB}" xr6:coauthVersionLast="47" xr6:coauthVersionMax="47" xr10:uidLastSave="{00000000-0000-0000-0000-000000000000}"/>
  <bookViews>
    <workbookView xWindow="-108" yWindow="-108" windowWidth="23256" windowHeight="12456" tabRatio="747" activeTab="2" xr2:uid="{00000000-000D-0000-FFFF-FFFF00000000}"/>
  </bookViews>
  <sheets>
    <sheet name="Project Instructions" sheetId="1" r:id="rId1"/>
    <sheet name="Final Project Dataset" sheetId="2" r:id="rId2"/>
    <sheet name="Dashboard" sheetId="12" r:id="rId3"/>
    <sheet name="Linear Regression" sheetId="4" r:id="rId4"/>
    <sheet name="Scenario Summary" sheetId="13" r:id="rId5"/>
    <sheet name="Top 5 Customers" sheetId="15" r:id="rId6"/>
    <sheet name="Pivot Table" sheetId="14" r:id="rId7"/>
    <sheet name="Line Chart" sheetId="5" r:id="rId8"/>
    <sheet name="Pie Chart" sheetId="7" r:id="rId9"/>
    <sheet name="Bar Chart" sheetId="6" r:id="rId10"/>
    <sheet name="Bar Chart1" sheetId="9" r:id="rId11"/>
    <sheet name="Dounut Chart" sheetId="10" r:id="rId12"/>
    <sheet name="Total Customers" sheetId="20" r:id="rId13"/>
  </sheets>
  <definedNames>
    <definedName name="_xlnm._FilterDatabase" localSheetId="1" hidden="1">'Final Project Dataset'!$A$1:$R$251</definedName>
    <definedName name="_xlnm._FilterDatabase" localSheetId="5" hidden="1">'Top 5 Customers'!$A$1:$C$51</definedName>
    <definedName name="Slicer_Category">#N/A</definedName>
    <definedName name="Slicer_Months__Date">#N/A</definedName>
    <definedName name="Slicer_Region">#N/A</definedName>
    <definedName name="Slicer_Years__Date">#N/A</definedName>
  </definedNames>
  <calcPr calcId="191029"/>
  <pivotCaches>
    <pivotCache cacheId="1" r:id="rId14"/>
    <pivotCache cacheId="7"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2" l="1"/>
  <c r="O2" i="2" a="1"/>
  <c r="O2" i="2" s="1"/>
  <c r="W32" i="2"/>
  <c r="Y3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 i="2"/>
  <c r="X49" i="2"/>
  <c r="X50" i="2"/>
  <c r="X51" i="2"/>
  <c r="X52" i="2"/>
  <c r="X53" i="2"/>
  <c r="X54" i="2"/>
  <c r="X55" i="2"/>
  <c r="X56" i="2"/>
  <c r="X57" i="2"/>
  <c r="X58" i="2"/>
  <c r="R3" i="2"/>
  <c r="R4" i="2"/>
  <c r="R5" i="2"/>
  <c r="W40" i="2" s="1"/>
  <c r="R6" i="2"/>
  <c r="R7" i="2"/>
  <c r="R8" i="2"/>
  <c r="W43" i="2" s="1"/>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B7" i="15"/>
  <c r="C7" i="15" s="1"/>
  <c r="B8" i="15"/>
  <c r="C8" i="15" s="1"/>
  <c r="B9" i="15"/>
  <c r="C9" i="15" s="1"/>
  <c r="B10" i="15"/>
  <c r="C10" i="15" s="1"/>
  <c r="B11" i="15"/>
  <c r="C11" i="15" s="1"/>
  <c r="B12" i="15"/>
  <c r="C12" i="15" s="1"/>
  <c r="B13" i="15"/>
  <c r="C13" i="15" s="1"/>
  <c r="B14" i="15"/>
  <c r="C14" i="15" s="1"/>
  <c r="B15" i="15"/>
  <c r="C15" i="15" s="1"/>
  <c r="B16" i="15"/>
  <c r="C16" i="15" s="1"/>
  <c r="B17" i="15"/>
  <c r="C17" i="15" s="1"/>
  <c r="B18" i="15"/>
  <c r="C18" i="15" s="1"/>
  <c r="B19" i="15"/>
  <c r="C19" i="15" s="1"/>
  <c r="B20" i="15"/>
  <c r="C20" i="15" s="1"/>
  <c r="B21" i="15"/>
  <c r="C21" i="15" s="1"/>
  <c r="B22" i="15"/>
  <c r="C22" i="15" s="1"/>
  <c r="B23" i="15"/>
  <c r="C23" i="15" s="1"/>
  <c r="B24" i="15"/>
  <c r="C24" i="15" s="1"/>
  <c r="B25" i="15"/>
  <c r="C25" i="15" s="1"/>
  <c r="B26" i="15"/>
  <c r="C26" i="15" s="1"/>
  <c r="B27" i="15"/>
  <c r="C27" i="15" s="1"/>
  <c r="B28" i="15"/>
  <c r="C28" i="15" s="1"/>
  <c r="B29" i="15"/>
  <c r="C29" i="15" s="1"/>
  <c r="B30" i="15"/>
  <c r="C30" i="15" s="1"/>
  <c r="B31" i="15"/>
  <c r="C31" i="15" s="1"/>
  <c r="B32" i="15"/>
  <c r="C32" i="15" s="1"/>
  <c r="B33" i="15"/>
  <c r="C33" i="15" s="1"/>
  <c r="B34" i="15"/>
  <c r="C34" i="15" s="1"/>
  <c r="B35" i="15"/>
  <c r="C35" i="15" s="1"/>
  <c r="B36" i="15"/>
  <c r="C36" i="15" s="1"/>
  <c r="B37" i="15"/>
  <c r="C37" i="15" s="1"/>
  <c r="B38" i="15"/>
  <c r="C38" i="15" s="1"/>
  <c r="B39" i="15"/>
  <c r="C39" i="15" s="1"/>
  <c r="B40" i="15"/>
  <c r="C40" i="15" s="1"/>
  <c r="B41" i="15"/>
  <c r="C41" i="15" s="1"/>
  <c r="B42" i="15"/>
  <c r="C42" i="15" s="1"/>
  <c r="B43" i="15"/>
  <c r="C43" i="15" s="1"/>
  <c r="B44" i="15"/>
  <c r="C44" i="15" s="1"/>
  <c r="B45" i="15"/>
  <c r="C45" i="15" s="1"/>
  <c r="B46" i="15"/>
  <c r="C46" i="15" s="1"/>
  <c r="B47" i="15"/>
  <c r="C47" i="15" s="1"/>
  <c r="B48" i="15"/>
  <c r="C48" i="15" s="1"/>
  <c r="B49" i="15"/>
  <c r="C49" i="15" s="1"/>
  <c r="B50" i="15"/>
  <c r="C50" i="15" s="1"/>
  <c r="B51" i="15"/>
  <c r="C51" i="15" s="1"/>
  <c r="B3" i="15"/>
  <c r="C3" i="15" s="1"/>
  <c r="B4" i="15"/>
  <c r="C4" i="15" s="1"/>
  <c r="B5" i="15"/>
  <c r="B6" i="15"/>
  <c r="B2" i="15"/>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B21" i="5"/>
  <c r="E4" i="15" l="1"/>
  <c r="F4" i="15" s="1"/>
  <c r="W37" i="2"/>
  <c r="W45" i="2"/>
  <c r="W44" i="2"/>
  <c r="W41" i="2"/>
  <c r="W42" i="2"/>
  <c r="W39" i="2"/>
  <c r="W38" i="2"/>
  <c r="E7" i="15"/>
  <c r="F7" i="15" s="1"/>
  <c r="E8" i="15"/>
  <c r="F8" i="15" s="1"/>
  <c r="E5" i="15"/>
  <c r="F5" i="15" s="1"/>
  <c r="C6" i="15"/>
  <c r="E6" i="15"/>
  <c r="F6" i="15" s="1"/>
  <c r="C5" i="15"/>
  <c r="C2" i="15"/>
  <c r="Q2" i="2" l="1"/>
  <c r="AB29" i="2"/>
  <c r="AC29" i="2" s="1"/>
  <c r="Y15" i="2" l="1"/>
  <c r="Y16" i="2"/>
  <c r="Y17" i="2"/>
  <c r="Y18" i="2"/>
  <c r="Y19" i="2"/>
  <c r="Y20" i="2"/>
  <c r="Y21" i="2"/>
  <c r="Y22" i="2"/>
  <c r="Y23" i="2"/>
  <c r="Y24" i="2"/>
  <c r="Y25" i="2"/>
  <c r="Y26" i="2"/>
  <c r="V8" i="2" a="1"/>
  <c r="V8" i="2" s="1"/>
  <c r="X4" i="2"/>
  <c r="W4" i="2" l="1"/>
  <c r="V4" i="2"/>
  <c r="P204" i="2" l="1"/>
  <c r="P241" i="2"/>
  <c r="P28" i="2"/>
  <c r="P150" i="2"/>
  <c r="P59" i="2"/>
  <c r="P78" i="2"/>
  <c r="P137" i="2"/>
  <c r="P145" i="2"/>
  <c r="P242" i="2"/>
  <c r="P5" i="2"/>
  <c r="P141" i="2"/>
  <c r="P230" i="2"/>
  <c r="P32" i="2"/>
  <c r="P118" i="2"/>
  <c r="P172" i="2"/>
  <c r="P203" i="2"/>
  <c r="P83" i="2"/>
  <c r="P57" i="2"/>
  <c r="P111" i="2"/>
  <c r="P61" i="2"/>
  <c r="P109" i="2"/>
  <c r="P105" i="2"/>
  <c r="P211" i="2"/>
  <c r="P7" i="2"/>
  <c r="P147" i="2"/>
  <c r="P121" i="2"/>
  <c r="P220" i="2"/>
  <c r="P127" i="2"/>
  <c r="P53" i="2"/>
  <c r="P173" i="2"/>
  <c r="P224" i="2"/>
  <c r="P210" i="2"/>
  <c r="P6" i="2"/>
  <c r="P56" i="2"/>
  <c r="P138" i="2"/>
  <c r="P194" i="2"/>
  <c r="P43" i="2"/>
  <c r="P176" i="2"/>
  <c r="P76" i="2"/>
  <c r="P122" i="2"/>
  <c r="P48" i="2"/>
  <c r="P123" i="2"/>
  <c r="P45" i="2"/>
  <c r="P248" i="2"/>
  <c r="P249" i="2"/>
  <c r="P36" i="2"/>
  <c r="P71" i="2"/>
  <c r="P41" i="2"/>
  <c r="P216" i="2"/>
  <c r="P149" i="2"/>
  <c r="P206" i="2"/>
  <c r="P189" i="2"/>
  <c r="P200" i="2"/>
  <c r="P55" i="2"/>
  <c r="P112" i="2"/>
  <c r="P132" i="2"/>
  <c r="P225" i="2"/>
  <c r="P195" i="2"/>
  <c r="P13" i="2"/>
  <c r="P231" i="2"/>
  <c r="P19" i="2"/>
  <c r="P26" i="2"/>
  <c r="P135" i="2"/>
  <c r="P124" i="2"/>
  <c r="P157" i="2"/>
  <c r="P99" i="2"/>
  <c r="P151" i="2"/>
  <c r="P198" i="2"/>
  <c r="P87" i="2"/>
  <c r="P161" i="2"/>
  <c r="P54" i="2"/>
  <c r="P153" i="2"/>
  <c r="P169" i="2"/>
  <c r="P25" i="2"/>
  <c r="P160" i="2"/>
  <c r="P50" i="2"/>
  <c r="P49" i="2"/>
  <c r="P166" i="2"/>
  <c r="P92" i="2"/>
  <c r="P234" i="2"/>
  <c r="P102" i="2"/>
  <c r="P95" i="2"/>
  <c r="P116" i="2"/>
  <c r="P23" i="2"/>
  <c r="P16" i="2"/>
  <c r="P89" i="2"/>
  <c r="P219" i="2"/>
  <c r="P31" i="2"/>
  <c r="P171" i="2"/>
  <c r="P233" i="2"/>
  <c r="P82" i="2"/>
  <c r="P201" i="2"/>
  <c r="P207" i="2"/>
  <c r="P97" i="2"/>
  <c r="P77" i="2"/>
  <c r="P2" i="2"/>
  <c r="P218" i="2"/>
  <c r="P85" i="2"/>
  <c r="P81" i="2"/>
  <c r="P108" i="2"/>
  <c r="P179" i="2"/>
  <c r="P47" i="2"/>
  <c r="P164" i="2"/>
  <c r="P119" i="2"/>
  <c r="P62" i="2"/>
  <c r="P66" i="2"/>
  <c r="P3" i="2"/>
  <c r="P245" i="2"/>
  <c r="P103" i="2"/>
  <c r="P131" i="2"/>
  <c r="P91" i="2"/>
  <c r="P208" i="2"/>
  <c r="P236" i="2"/>
  <c r="P14" i="2"/>
  <c r="P178" i="2"/>
  <c r="P8" i="2"/>
  <c r="P63" i="2"/>
  <c r="P9" i="2"/>
  <c r="P214" i="2"/>
  <c r="P159" i="2"/>
  <c r="P101" i="2"/>
  <c r="P209" i="2"/>
  <c r="P17" i="2"/>
  <c r="P205" i="2"/>
  <c r="P11" i="2"/>
  <c r="P29" i="2"/>
  <c r="P193" i="2"/>
  <c r="P196" i="2"/>
  <c r="P27" i="2"/>
  <c r="P115" i="2"/>
  <c r="P68" i="2"/>
  <c r="P75" i="2"/>
  <c r="P184" i="2"/>
  <c r="P21" i="2"/>
  <c r="P84" i="2"/>
  <c r="P70" i="2"/>
  <c r="P128" i="2"/>
  <c r="P15" i="2"/>
  <c r="P215" i="2"/>
  <c r="P74" i="2"/>
  <c r="P67" i="2"/>
  <c r="P51" i="2"/>
  <c r="P154" i="2"/>
  <c r="P190" i="2"/>
  <c r="P40" i="2"/>
  <c r="P136" i="2"/>
  <c r="P69" i="2"/>
  <c r="P90" i="2"/>
  <c r="P106" i="2"/>
  <c r="P143" i="2"/>
  <c r="P104" i="2"/>
  <c r="P185" i="2"/>
  <c r="P58" i="2"/>
  <c r="P12" i="2"/>
  <c r="P52" i="2"/>
  <c r="P140" i="2"/>
  <c r="P80" i="2"/>
  <c r="P129" i="2"/>
  <c r="P168" i="2"/>
  <c r="P213" i="2"/>
  <c r="P100" i="2"/>
  <c r="P110" i="2"/>
  <c r="P240" i="2"/>
  <c r="P79" i="2"/>
  <c r="P94" i="2"/>
  <c r="P182" i="2"/>
  <c r="P35" i="2"/>
  <c r="P244" i="2"/>
  <c r="P10" i="2"/>
  <c r="P165" i="2"/>
  <c r="P72" i="2"/>
  <c r="P229" i="2"/>
  <c r="P217" i="2"/>
  <c r="P181" i="2"/>
  <c r="P18" i="2"/>
  <c r="P142" i="2"/>
  <c r="P212" i="2"/>
  <c r="P155" i="2"/>
  <c r="P180" i="2"/>
  <c r="P98" i="2"/>
  <c r="P113" i="2"/>
  <c r="P37" i="2"/>
  <c r="P117" i="2"/>
  <c r="P174" i="2"/>
  <c r="P107" i="2"/>
  <c r="P243" i="2"/>
  <c r="P33" i="2"/>
  <c r="P65" i="2"/>
  <c r="P187" i="2"/>
  <c r="P188" i="2"/>
  <c r="P250" i="2"/>
  <c r="P126" i="2"/>
  <c r="P239" i="2"/>
  <c r="P42" i="2"/>
  <c r="P222" i="2"/>
  <c r="P221" i="2"/>
  <c r="P20" i="2"/>
  <c r="P223" i="2"/>
  <c r="P146" i="2"/>
  <c r="P237" i="2"/>
  <c r="P162" i="2"/>
  <c r="P177" i="2"/>
  <c r="P199" i="2"/>
  <c r="P4" i="2"/>
  <c r="P73" i="2"/>
  <c r="P251" i="2"/>
  <c r="P235" i="2"/>
  <c r="P44" i="2"/>
  <c r="P96" i="2"/>
  <c r="P163" i="2"/>
  <c r="P64" i="2"/>
  <c r="P197" i="2"/>
  <c r="P86" i="2"/>
  <c r="P134" i="2"/>
  <c r="P156" i="2"/>
  <c r="P232" i="2"/>
  <c r="P183" i="2"/>
  <c r="P133" i="2"/>
  <c r="P130" i="2"/>
  <c r="P39" i="2"/>
  <c r="P167" i="2"/>
  <c r="P152" i="2"/>
  <c r="P175" i="2"/>
  <c r="P191" i="2"/>
  <c r="P144" i="2"/>
  <c r="P247" i="2"/>
  <c r="P93" i="2"/>
  <c r="P30" i="2"/>
  <c r="P158" i="2"/>
  <c r="P246" i="2"/>
  <c r="P125" i="2"/>
  <c r="P139" i="2"/>
  <c r="P24" i="2"/>
  <c r="P34" i="2"/>
  <c r="P202" i="2"/>
  <c r="P38" i="2"/>
  <c r="P114" i="2"/>
  <c r="P148" i="2"/>
  <c r="P22" i="2"/>
  <c r="P186" i="2"/>
  <c r="P226" i="2"/>
  <c r="P238" i="2"/>
  <c r="P192" i="2"/>
  <c r="P46" i="2"/>
  <c r="P228" i="2"/>
  <c r="P170" i="2"/>
  <c r="P120" i="2"/>
  <c r="P60" i="2"/>
  <c r="P227" i="2"/>
  <c r="P88"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<sst xmlns="http://schemas.openxmlformats.org/spreadsheetml/2006/main" count="2524" uniqueCount="502">
  <si>
    <t>PR. Final Project - "Data Intelligence Dashboard"</t>
  </si>
  <si>
    <r>
      <rPr>
        <b/>
        <sz val="11"/>
        <color theme="1"/>
        <rFont val="Calibri"/>
        <family val="2"/>
      </rPr>
      <t xml:space="preserve">Dataset: </t>
    </r>
    <r>
      <rPr>
        <sz val="11"/>
        <color theme="1"/>
        <rFont val="Calibri"/>
        <family val="2"/>
      </rPr>
      <t xml:space="preserve">Use the 'Final Project Dataset' sheet containing 200+ records of customer transactions.
</t>
    </r>
    <r>
      <rPr>
        <b/>
        <sz val="11"/>
        <color theme="1"/>
        <rFont val="Calibri"/>
        <family val="2"/>
      </rPr>
      <t xml:space="preserve">Objective: </t>
    </r>
    <r>
      <rPr>
        <sz val="11"/>
        <color theme="1"/>
        <rFont val="Calibri"/>
        <family val="2"/>
      </rPr>
      <t xml:space="preserve">
Create a full-fledged analysis and reporting solution using Excel to analyze customer transactions, find insights, 
and build visualizations and dashboards.
</t>
    </r>
    <r>
      <rPr>
        <b/>
        <sz val="11"/>
        <color rgb="FF367526"/>
        <rFont val="Calibri"/>
        <family val="2"/>
      </rPr>
      <t xml:space="preserve">Key Topics to Implement:
</t>
    </r>
    <r>
      <rPr>
        <sz val="11"/>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rPr>
      <t xml:space="preserve">
</t>
    </r>
    <r>
      <rPr>
        <b/>
        <sz val="11"/>
        <color theme="1"/>
        <rFont val="Calibri"/>
        <family val="2"/>
      </rPr>
      <t xml:space="preserve">Deliverable:
</t>
    </r>
    <r>
      <rPr>
        <sz val="11"/>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</si>
  <si>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</si>
  <si>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</si>
  <si>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</si>
  <si>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</si>
  <si>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</si>
  <si>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</si>
  <si>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</si>
  <si>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</si>
  <si>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</si>
  <si>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</si>
  <si>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</si>
  <si>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</si>
  <si>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</si>
  <si>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</si>
  <si>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</si>
  <si>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</si>
  <si>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</si>
  <si>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</si>
  <si>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</si>
  <si>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</si>
  <si>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</si>
  <si>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</si>
  <si>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</si>
  <si>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</si>
  <si>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</si>
  <si>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</si>
  <si>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</si>
  <si>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</si>
  <si>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</si>
  <si>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</si>
  <si>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</si>
  <si>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</si>
  <si>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</si>
  <si>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</si>
  <si>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</si>
  <si>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</si>
  <si>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</si>
  <si>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</si>
  <si>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</si>
  <si>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</si>
  <si>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</si>
  <si>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</si>
  <si>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</si>
  <si>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</si>
  <si>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</si>
  <si>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</si>
  <si>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</si>
  <si>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</si>
  <si>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</si>
  <si>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</si>
  <si>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</si>
  <si>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</si>
  <si>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</si>
  <si>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</si>
  <si>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</si>
  <si>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</si>
  <si>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</si>
  <si>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</si>
  <si>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</si>
  <si>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</si>
  <si>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</si>
  <si>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</si>
  <si>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</si>
  <si>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</si>
  <si>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</si>
  <si>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</si>
  <si>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</si>
  <si>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</si>
  <si>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</si>
  <si>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</si>
  <si>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</si>
  <si>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</si>
  <si>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</si>
  <si>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</si>
  <si>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</si>
  <si>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</si>
  <si>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</si>
  <si>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</si>
  <si>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</si>
  <si>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</si>
  <si>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</si>
  <si>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</si>
  <si>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</si>
  <si>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</si>
  <si>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</si>
  <si>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</si>
  <si>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</si>
  <si>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</si>
  <si>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</si>
  <si>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</si>
  <si>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</si>
  <si>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</si>
  <si>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</si>
  <si>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</si>
  <si>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</si>
  <si>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</si>
  <si>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</si>
  <si>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</si>
  <si>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</si>
  <si>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</si>
  <si>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</si>
  <si>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</si>
  <si>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</si>
  <si>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</si>
  <si>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</si>
  <si>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</si>
  <si>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</si>
  <si>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</si>
  <si>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</si>
  <si>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</si>
  <si>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</si>
  <si>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</si>
  <si>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</si>
  <si>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</si>
  <si>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</si>
  <si>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</si>
  <si>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</si>
  <si>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</si>
  <si>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</si>
  <si>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</si>
  <si>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</si>
  <si>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</si>
  <si>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</si>
  <si>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</si>
  <si>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</si>
  <si>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</si>
  <si>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</si>
  <si>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</si>
  <si>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</si>
  <si>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</si>
  <si>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</si>
  <si>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</si>
  <si>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</si>
  <si>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</si>
  <si>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</si>
  <si>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</si>
  <si>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</si>
  <si>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</si>
  <si>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</si>
  <si>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</si>
  <si>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</si>
  <si>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</si>
  <si>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</si>
  <si>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</si>
  <si>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</si>
  <si>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</si>
  <si>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</si>
  <si>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</si>
  <si>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</si>
  <si>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</si>
  <si>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</si>
  <si>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</si>
  <si>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</si>
  <si>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</si>
  <si>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</si>
  <si>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</si>
  <si>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</si>
  <si>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</si>
  <si>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</si>
  <si>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</si>
  <si>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</si>
  <si>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</si>
  <si>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</si>
  <si>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</si>
  <si>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</si>
  <si>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</si>
  <si>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</si>
  <si>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</si>
  <si>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</si>
  <si>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</si>
  <si>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</si>
  <si>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</si>
  <si>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</si>
  <si>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</si>
  <si>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</si>
  <si>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</si>
  <si>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</si>
  <si>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</si>
  <si>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</si>
  <si>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</si>
  <si>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</si>
  <si>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</si>
  <si>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</si>
  <si>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</si>
  <si>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</si>
  <si>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</si>
  <si>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</si>
  <si>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</si>
  <si>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</si>
  <si>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</si>
  <si>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</si>
  <si>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</si>
  <si>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</si>
  <si>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</si>
  <si>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</si>
  <si>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</si>
  <si>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</si>
  <si>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</si>
  <si>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</si>
  <si>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</si>
  <si>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</si>
  <si>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</si>
  <si>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</si>
  <si>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</si>
  <si>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</si>
  <si>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</si>
  <si>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</si>
  <si>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</si>
  <si>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</si>
  <si>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</si>
  <si>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</si>
  <si>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</si>
  <si>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</si>
  <si>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</si>
  <si>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</si>
  <si>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</si>
  <si>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</si>
  <si>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</si>
  <si>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</si>
  <si>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</si>
  <si>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</si>
  <si>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</si>
  <si>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</si>
  <si>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</si>
  <si>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</si>
  <si>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</si>
  <si>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</si>
  <si>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</si>
  <si>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</si>
  <si>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</si>
  <si>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</si>
  <si>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</si>
  <si>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</si>
  <si>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</si>
  <si>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</si>
  <si>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</si>
  <si>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</si>
  <si>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</si>
  <si>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</si>
  <si>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</si>
  <si>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</si>
  <si>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</si>
  <si>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</si>
  <si>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</si>
  <si>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</si>
  <si>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</si>
  <si>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</si>
  <si>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</si>
  <si>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</si>
  <si>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</si>
  <si>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</si>
  <si>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</si>
  <si>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</si>
  <si>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</si>
  <si>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</si>
  <si>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</si>
  <si>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</si>
  <si>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</si>
  <si>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</si>
  <si>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</si>
  <si>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</si>
  <si>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</si>
  <si>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</si>
  <si>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</si>
  <si>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</si>
  <si>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</si>
  <si>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</si>
  <si>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</si>
  <si>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</si>
  <si>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</si>
  <si>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</si>
  <si>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</si>
  <si>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</si>
  <si>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</si>
  <si>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</si>
  <si>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</si>
  <si>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</si>
  <si>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</si>
  <si>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</si>
  <si>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</si>
  <si>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</si>
  <si>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</si>
  <si>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</si>
  <si>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</si>
  <si>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</si>
  <si>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</si>
  <si>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</si>
  <si>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</si>
  <si>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</si>
  <si>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</si>
  <si>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</si>
  <si>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</si>
  <si>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</si>
  <si>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</si>
  <si>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</si>
  <si>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</si>
  <si>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</si>
  <si>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</si>
  <si>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</si>
  <si>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</si>
  <si>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</si>
  <si>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</si>
  <si>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</si>
  <si>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</si>
  <si>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</si>
  <si>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</si>
  <si>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</si>
  <si>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</si>
  <si>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</si>
  <si>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</si>
  <si>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</si>
  <si>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</si>
  <si>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</si>
  <si>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</si>
  <si>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</si>
  <si>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</si>
  <si>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</si>
  <si>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</si>
  <si>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</si>
  <si>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</si>
  <si>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</si>
  <si>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</si>
  <si>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</si>
  <si>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</si>
  <si>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</si>
  <si>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</si>
  <si>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</si>
  <si>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</si>
  <si>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</si>
  <si>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</si>
  <si>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</si>
  <si>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</si>
  <si>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</si>
  <si>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</si>
  <si>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</si>
  <si>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</si>
  <si>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</si>
  <si>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</si>
  <si>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</si>
  <si>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</si>
  <si>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</si>
  <si>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</si>
  <si>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</si>
  <si>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</si>
  <si>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</si>
  <si>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</si>
  <si>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</si>
  <si>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</si>
  <si>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</si>
  <si>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</si>
  <si>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</si>
  <si>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</si>
  <si>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</si>
  <si>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</si>
  <si>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</si>
  <si>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</si>
  <si>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</si>
  <si>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</si>
  <si>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</si>
  <si>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</si>
  <si>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</si>
  <si>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</si>
  <si>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</si>
  <si>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</si>
  <si>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</si>
  <si>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</si>
  <si>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</si>
  <si>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</si>
  <si>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</si>
  <si>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</si>
  <si>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</si>
  <si>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</si>
  <si>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</si>
  <si>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</si>
  <si>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</si>
  <si>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</si>
  <si>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</si>
  <si>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</si>
  <si>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</si>
  <si>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</si>
  <si>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</si>
  <si>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</si>
  <si>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</si>
  <si>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</si>
  <si>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</si>
  <si>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</si>
  <si>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</si>
  <si>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</si>
  <si>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</si>
  <si>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</si>
  <si>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</si>
  <si>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</si>
  <si>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</si>
  <si>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</si>
  <si>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</si>
  <si>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</si>
  <si>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</si>
  <si>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</si>
  <si>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</si>
  <si>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</si>
  <si>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</si>
  <si>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Date_Different</t>
  </si>
  <si>
    <t>EOMONTH</t>
  </si>
  <si>
    <t>1. Date &amp; Time Functions: TODAY, NOW, DATEDIF, EOMONTH</t>
  </si>
  <si>
    <t>2. FILTER Function for multi-value returns</t>
  </si>
  <si>
    <t>Row Labels</t>
  </si>
  <si>
    <t>Grand Total</t>
  </si>
  <si>
    <t>2025</t>
  </si>
  <si>
    <t>Sum of Total_Amount</t>
  </si>
  <si>
    <t>Apr</t>
  </si>
  <si>
    <t>May</t>
  </si>
  <si>
    <t>Jun</t>
  </si>
  <si>
    <t>Jul</t>
  </si>
  <si>
    <t>Aug</t>
  </si>
  <si>
    <t>Sep</t>
  </si>
  <si>
    <t>Oct</t>
  </si>
  <si>
    <t>Nov</t>
  </si>
  <si>
    <t>Dec</t>
  </si>
  <si>
    <t>Jan</t>
  </si>
  <si>
    <t>Feb</t>
  </si>
  <si>
    <t>Mar</t>
  </si>
  <si>
    <t>-</t>
  </si>
  <si>
    <t>Time Stamp</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</si>
  <si>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</si>
  <si>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</si>
  <si>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</si>
  <si>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</si>
  <si>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</si>
  <si>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</si>
  <si>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</si>
  <si>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</si>
  <si>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</si>
  <si>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</si>
  <si>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</si>
  <si>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</si>
  <si>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</si>
  <si>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</si>
  <si>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</si>
  <si>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</si>
  <si>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</si>
  <si>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</si>
  <si>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</si>
  <si>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</si>
  <si>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</si>
  <si>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</si>
  <si>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</si>
  <si>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</si>
  <si>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2024</t>
  </si>
  <si>
    <t>$U$30</t>
  </si>
  <si>
    <t>$V$30</t>
  </si>
  <si>
    <t>$U$31</t>
  </si>
  <si>
    <t>Medium Sales</t>
  </si>
  <si>
    <t>Created by Ritu on 26-03-2026
Modified by Ritu on 26-03-2026</t>
  </si>
  <si>
    <t>High Sales</t>
  </si>
  <si>
    <t>low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</si>
  <si>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</si>
  <si>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</si>
  <si>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</si>
  <si>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</si>
  <si>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</si>
  <si>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</si>
  <si>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</si>
  <si>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Total Revenue per customer</t>
  </si>
  <si>
    <t>TOP REVENUE</t>
  </si>
  <si>
    <t>RANK</t>
  </si>
  <si>
    <t>Total Revenue</t>
  </si>
  <si>
    <t>Identify High-Value Customers</t>
  </si>
  <si>
    <t>Most Frequently Purchased Product</t>
  </si>
  <si>
    <t>Fequently</t>
  </si>
  <si>
    <t>Product</t>
  </si>
  <si>
    <t>Rahul</t>
  </si>
  <si>
    <t>Amit</t>
  </si>
  <si>
    <t>Neha</t>
  </si>
  <si>
    <t>Priya</t>
  </si>
  <si>
    <t>Karan</t>
  </si>
  <si>
    <t>Sneha</t>
  </si>
  <si>
    <t>Rohit</t>
  </si>
  <si>
    <t>Anjali</t>
  </si>
  <si>
    <t>Vikas</t>
  </si>
  <si>
    <t>Pooja</t>
  </si>
  <si>
    <t>Simran</t>
  </si>
  <si>
    <t>Ajay</t>
  </si>
  <si>
    <t>Meena</t>
  </si>
  <si>
    <t>Arjun</t>
  </si>
  <si>
    <t>Abbreviations</t>
  </si>
  <si>
    <t>year</t>
  </si>
  <si>
    <t>Month</t>
  </si>
  <si>
    <t>Toatl_amount</t>
  </si>
  <si>
    <t>Sales_Growth</t>
  </si>
  <si>
    <t>4.Conditional Formatting with Icons/Arrows</t>
  </si>
  <si>
    <t>5.WHAT-IF Analysis: Scenario Manager, Goal Seek</t>
  </si>
  <si>
    <t>6.Most Frequently Purchased Product</t>
  </si>
  <si>
    <t>Unit_price</t>
  </si>
  <si>
    <t>Total_amount</t>
  </si>
  <si>
    <t>Goal Seek</t>
  </si>
  <si>
    <t>.</t>
  </si>
  <si>
    <r>
      <t xml:space="preserve">Show only </t>
    </r>
    <r>
      <rPr>
        <b/>
        <sz val="11"/>
        <color theme="0"/>
        <rFont val="Calibri"/>
        <family val="2"/>
        <scheme val="minor"/>
      </rPr>
      <t>Electronics + West Region</t>
    </r>
  </si>
  <si>
    <t>7.Compare two lists and extract matching names in a new column</t>
  </si>
  <si>
    <t>Count of Customer_ID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</si>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</sst>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74" formatCode="_ [$₹-4009]\ * #,##0.00_ ;_ [$₹-4009]\ * \-#,##0.00_ ;_ [$₹-4009]\ * &quot;-&quot;??_ ;_ @_ "/>
  </numFmts>
  <fonts count="1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rgb="FF367526"/>
      <name val="Calibri"/>
      <family val="2"/>
    </font>
    <font>
      <sz val="11"/>
      <color rgb="FF38761D"/>
      <name val="Calibri"/>
      <family val="2"/>
    </font>
    <font>
      <sz val="11"/>
      <color theme="1"/>
      <name val="Calibri"/>
      <family val="2"/>
      <scheme val="minor"/>
    </font>
    <font>
      <i/>
      <sz val="11"/>
      <color theme="1"/>
      <name val="Calibri"/>
      <family val="2"/>
      <scheme val="minor"/>
    </font>
    <font>
      <b/>
      <sz val="11"/>
      <color theme="0"/>
      <name val="Calibri"/>
      <family val="2"/>
      <scheme val="minor"/>
    </font>
    <font>
      <sz val="11"/>
      <color theme="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u/>
      <sz val="11"/>
      <color theme="1"/>
      <name val="Calibri"/>
      <family val="2"/>
      <scheme val="minor"/>
    </font>
  </fonts>
  <fills count="11">
    <fill>
      <patternFill patternType="none"/>
    </fill>
    <fill>
      <patternFill patternType="gray125"/>
    </fill>
    <fill>
      <patternFill patternType="solid">
        <fgColor rgb="FFFFF2CC"/>
        <bgColor rgb="FFFFF2CC"/>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bgColor indexed="64"/>
      </patternFill>
    </fill>
    <fill>
      <patternFill patternType="solid">
        <fgColor theme="6"/>
        <bgColor theme="4" tint="0.79998168889431442"/>
      </patternFill>
    </fill>
    <fill>
      <patternFill patternType="solid">
        <fgColor theme="4"/>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s>
  <cellStyleXfs count="2">
    <xf numFmtId="0" fontId="0" fillId="0" borderId="0"/>
    <xf numFmtId="9" fontId="9" fillId="0" borderId="0" applyFont="0" applyFill="0" applyBorder="0" applyAlignment="0" applyProtection="0"/>
  </cellStyleXfs>
  <cellXfs count="53">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6" fillId="0" borderId="0" xfId="0" applyFont="1"/>
    <xf numFmtId="0" fontId="4" fillId="0" borderId="0" xfId="0" applyFont="1"/>
    <xf numFmtId="164" fontId="4" fillId="0" borderId="0" xfId="0" applyNumberFormat="1" applyFont="1"/>
    <xf numFmtId="0" fontId="5" fillId="0" borderId="1" xfId="0" applyFont="1" applyBorder="1" applyAlignment="1">
      <alignment wrapText="1"/>
    </xf>
    <xf numFmtId="0" fontId="2" fillId="0" borderId="0" xfId="0" applyFont="1"/>
    <xf numFmtId="14" fontId="0" fillId="0" borderId="0" xfId="0" applyNumberFormat="1" applyAlignment="1">
      <alignment horizontal="center"/>
    </xf>
    <xf numFmtId="22"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2" xfId="0" applyFont="1" applyBorder="1" applyAlignment="1">
      <alignment horizontal="left"/>
    </xf>
    <xf numFmtId="0" fontId="6" fillId="0" borderId="2" xfId="0" applyFont="1" applyBorder="1"/>
    <xf numFmtId="9" fontId="0" fillId="0" borderId="0" xfId="1" applyFont="1"/>
    <xf numFmtId="0" fontId="0" fillId="0" borderId="3" xfId="0" applyBorder="1"/>
    <xf numFmtId="1" fontId="0" fillId="0" borderId="0" xfId="0" applyNumberFormat="1"/>
    <xf numFmtId="0" fontId="0" fillId="0" borderId="0" xfId="0" applyFill="1" applyBorder="1" applyAlignment="1"/>
    <xf numFmtId="0" fontId="0" fillId="0" borderId="3" xfId="0" applyFill="1" applyBorder="1" applyAlignment="1"/>
    <xf numFmtId="0" fontId="13" fillId="3" borderId="6" xfId="0" applyFont="1" applyFill="1" applyBorder="1" applyAlignment="1">
      <alignment horizontal="left"/>
    </xf>
    <xf numFmtId="0" fontId="13" fillId="3" borderId="5" xfId="0" applyFont="1" applyFill="1" applyBorder="1" applyAlignment="1">
      <alignment horizontal="left"/>
    </xf>
    <xf numFmtId="0" fontId="0" fillId="0" borderId="7" xfId="0" applyFill="1" applyBorder="1" applyAlignment="1"/>
    <xf numFmtId="0" fontId="14" fillId="4" borderId="0" xfId="0" applyFont="1" applyFill="1" applyBorder="1" applyAlignment="1">
      <alignment horizontal="left"/>
    </xf>
    <xf numFmtId="0" fontId="15" fillId="4" borderId="7" xfId="0" applyFont="1" applyFill="1" applyBorder="1" applyAlignment="1">
      <alignment horizontal="left"/>
    </xf>
    <xf numFmtId="0" fontId="14" fillId="4" borderId="3" xfId="0" applyFont="1" applyFill="1" applyBorder="1" applyAlignment="1">
      <alignment horizontal="left"/>
    </xf>
    <xf numFmtId="0" fontId="16" fillId="3" borderId="5" xfId="0" applyFont="1" applyFill="1" applyBorder="1" applyAlignment="1">
      <alignment horizontal="right"/>
    </xf>
    <xf numFmtId="0" fontId="16" fillId="3" borderId="6" xfId="0" applyFont="1" applyFill="1" applyBorder="1" applyAlignment="1">
      <alignment horizontal="right"/>
    </xf>
    <xf numFmtId="0" fontId="0" fillId="5" borderId="0" xfId="0" applyFill="1" applyBorder="1" applyAlignment="1"/>
    <xf numFmtId="0" fontId="17" fillId="0" borderId="0" xfId="0" applyFont="1" applyFill="1" applyBorder="1" applyAlignment="1">
      <alignment vertical="top" wrapText="1"/>
    </xf>
    <xf numFmtId="0" fontId="0" fillId="0" borderId="0" xfId="0" applyNumberFormat="1"/>
    <xf numFmtId="0" fontId="0" fillId="0" borderId="0" xfId="0" applyAlignment="1">
      <alignment horizontal="center"/>
    </xf>
    <xf numFmtId="0" fontId="6" fillId="6" borderId="8" xfId="0" applyFont="1" applyFill="1" applyBorder="1" applyAlignment="1">
      <alignment horizontal="center" vertical="center"/>
    </xf>
    <xf numFmtId="0" fontId="6" fillId="0" borderId="0" xfId="0" applyFont="1" applyAlignment="1">
      <alignment vertical="center"/>
    </xf>
    <xf numFmtId="0" fontId="0" fillId="0" borderId="0" xfId="0" applyAlignment="1">
      <alignment vertical="center"/>
    </xf>
    <xf numFmtId="0" fontId="0" fillId="7" borderId="0" xfId="0" applyFill="1"/>
    <xf numFmtId="0" fontId="6" fillId="8" borderId="0" xfId="0" applyFont="1" applyFill="1"/>
    <xf numFmtId="0" fontId="1" fillId="8" borderId="0" xfId="0" applyFont="1" applyFill="1"/>
    <xf numFmtId="0" fontId="18" fillId="0" borderId="0" xfId="0" applyFont="1"/>
    <xf numFmtId="0" fontId="11" fillId="8" borderId="0" xfId="0" applyFont="1" applyFill="1"/>
    <xf numFmtId="0" fontId="12" fillId="9" borderId="9" xfId="0" applyFont="1" applyFill="1" applyBorder="1" applyAlignment="1">
      <alignment horizontal="center"/>
    </xf>
    <xf numFmtId="14" fontId="12" fillId="8" borderId="0" xfId="0" applyNumberFormat="1" applyFont="1" applyFill="1" applyAlignment="1">
      <alignment horizontal="center"/>
    </xf>
    <xf numFmtId="0" fontId="12" fillId="8" borderId="0" xfId="0" applyFont="1" applyFill="1"/>
    <xf numFmtId="0" fontId="11" fillId="8" borderId="0" xfId="0" applyFont="1" applyFill="1" applyAlignment="1">
      <alignment horizontal="center"/>
    </xf>
    <xf numFmtId="174" fontId="0" fillId="0" borderId="0" xfId="0" applyNumberFormat="1"/>
    <xf numFmtId="0" fontId="10" fillId="10" borderId="4" xfId="0" applyFont="1" applyFill="1" applyBorder="1" applyAlignment="1">
      <alignment horizontal="centerContinuous"/>
    </xf>
    <xf numFmtId="0" fontId="10" fillId="10" borderId="4" xfId="0" applyFont="1" applyFill="1" applyBorder="1" applyAlignment="1">
      <alignment horizontal="center"/>
    </xf>
    <xf numFmtId="0" fontId="6" fillId="7" borderId="0" xfId="0" applyFont="1" applyFill="1" applyAlignment="1">
      <alignment vertical="center"/>
    </xf>
    <xf numFmtId="0" fontId="6" fillId="7" borderId="0" xfId="0" applyFont="1" applyFill="1" applyAlignment="1">
      <alignment horizontal="center" vertical="center"/>
    </xf>
    <xf numFmtId="0" fontId="6" fillId="7" borderId="0" xfId="0" applyFont="1" applyFill="1" applyAlignment="1">
      <alignment vertical="center" wrapText="1"/>
    </xf>
    <xf numFmtId="14" fontId="0" fillId="7" borderId="0" xfId="0" applyNumberFormat="1" applyFill="1"/>
    <xf numFmtId="22" fontId="0" fillId="7" borderId="0" xfId="0" applyNumberFormat="1" applyFill="1"/>
    <xf numFmtId="0" fontId="0" fillId="7" borderId="0" xfId="0" applyFill="1" applyAlignment="1">
      <alignment horizontal="center"/>
    </xf>
  </cellXfs>
  <cellStyles count="2">
    <cellStyle name="Normal" xfId="0" builtinId="0"/>
    <cellStyle name="Percent" xfId="1" builtinId="5"/>
  </cellStyles>
  <dxfs count="20">
    <dxf>
      <font>
        <b/>
        <i val="0"/>
        <color theme="0"/>
      </font>
      <border>
        <bottom style="thin">
          <color theme="5"/>
        </bottom>
        <vertical/>
        <horizontal/>
      </border>
    </dxf>
    <dxf>
      <font>
        <color theme="1"/>
      </font>
      <fill>
        <patternFill>
          <bgColor theme="1"/>
        </patternFill>
      </fill>
      <border>
        <left style="thin">
          <color theme="5"/>
        </left>
        <right style="thin">
          <color theme="5"/>
        </right>
        <top style="thin">
          <color theme="5"/>
        </top>
        <bottom style="thin">
          <color theme="5"/>
        </bottom>
        <vertical/>
        <horizontal/>
      </border>
    </dxf>
    <dxf>
      <font>
        <b/>
        <i val="0"/>
        <color theme="0"/>
      </font>
      <border>
        <bottom style="thin">
          <color theme="5"/>
        </bottom>
        <vertical/>
        <horizontal/>
      </border>
    </dxf>
    <dxf>
      <font>
        <color theme="1"/>
      </font>
      <fill>
        <patternFill>
          <bgColor theme="1"/>
        </patternFill>
      </fill>
      <border>
        <left style="thin">
          <color theme="5"/>
        </left>
        <right style="thin">
          <color theme="5"/>
        </right>
        <top style="thin">
          <color theme="5"/>
        </top>
        <bottom style="thin">
          <color theme="5"/>
        </bottom>
        <vertical/>
        <horizontal/>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4"/>
          <bgColor theme="6"/>
        </patternFill>
      </fill>
    </dxf>
    <dxf>
      <font>
        <strike val="0"/>
        <outline val="0"/>
        <shadow val="0"/>
        <u val="none"/>
        <vertAlign val="baseline"/>
        <sz val="11"/>
        <color theme="1"/>
        <name val="Calibri"/>
        <family val="2"/>
        <scheme val="minor"/>
      </font>
      <fill>
        <patternFill patternType="solid">
          <fgColor indexed="64"/>
          <bgColor theme="6"/>
        </patternFill>
      </fill>
    </dxf>
    <dxf>
      <font>
        <b val="0"/>
        <i val="0"/>
        <strike val="0"/>
        <condense val="0"/>
        <extend val="0"/>
        <outline val="0"/>
        <shadow val="0"/>
        <u val="none"/>
        <vertAlign val="baseline"/>
        <sz val="11"/>
        <color theme="1"/>
        <name val="Calibri"/>
        <scheme val="minor"/>
      </font>
    </dxf>
    <dxf>
      <alignment horizontal="left" vertical="bottom" textRotation="0" wrapText="0" indent="1"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family val="2"/>
      </font>
    </dxf>
    <dxf>
      <font>
        <b/>
        <family val="2"/>
      </font>
    </dxf>
    <dxf>
      <font>
        <b/>
        <family val="2"/>
      </font>
    </dxf>
    <dxf>
      <font>
        <b/>
        <family val="2"/>
      </font>
    </dxf>
    <dxf>
      <border outline="0">
        <bottom style="thin">
          <color indexed="64"/>
        </bottom>
      </border>
    </dxf>
    <dxf>
      <border outline="0">
        <top style="thin">
          <color indexed="64"/>
        </top>
      </border>
    </dxf>
  </dxfs>
  <tableStyles count="2" defaultTableStyle="TableStyleMedium2" defaultPivotStyle="PivotStyleLight16">
    <tableStyle name="SlicerStyleDark2 2" pivot="0" table="0" count="10" xr9:uid="{1431B487-CECE-496D-9F31-93B145D6E999}">
      <tableStyleElement type="wholeTable" dxfId="3"/>
      <tableStyleElement type="headerRow" dxfId="2"/>
    </tableStyle>
    <tableStyle name="SlicerStyleDark2 2 2" pivot="0" table="0" count="10" xr9:uid="{6CDBB928-065D-47CE-A151-EF3433466963}">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Project.xlsx]Line Chart!PivotTable1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'Line Chart'!$A$4:$A$15</c:f>
              <c:multiLvlStrCache>
                <c:ptCount val="9"/>
                <c:lvl>
                  <c:pt idx="0">
                    <c:v>Apr</c:v>
                  </c:pt>
                  <c:pt idx="1">
                    <c:v>May</c:v>
                  </c:pt>
                  <c:pt idx="2">
                    <c:v>Jun</c:v>
                  </c:pt>
                  <c:pt idx="3">
                    <c:v>Jul</c:v>
                  </c:pt>
                  <c:pt idx="4">
                    <c:v>Aug</c:v>
                  </c:pt>
                  <c:pt idx="5">
                    <c:v>Jan</c:v>
                  </c:pt>
                  <c:pt idx="6">
                    <c:v>Feb</c:v>
                  </c:pt>
                  <c:pt idx="7">
                    <c:v>Mar</c:v>
                  </c:pt>
                  <c:pt idx="8">
                    <c:v>Apr</c:v>
                  </c:pt>
                </c:lvl>
                <c:lvl>
                  <c:pt idx="0">
                    <c:v>2024</c:v>
                  </c:pt>
                  <c:pt idx="5">
                    <c:v>2025</c:v>
                  </c:pt>
                </c:lvl>
              </c:multiLvlStrCache>
            </c:multiLvlStrRef>
          </c:cat>
          <c:val>
            <c:numRef>
              <c:f>'Line Chart'!$B$4:$B$15</c:f>
              <c:numCache>
                <c:formatCode>General</c:formatCode>
                <c:ptCount val="9"/>
                <c:pt idx="0">
                  <c:v>4949.8600000000006</c:v>
                </c:pt>
                <c:pt idx="1">
                  <c:v>6069.76</c:v>
                </c:pt>
                <c:pt idx="2">
                  <c:v>13719.63</c:v>
                </c:pt>
                <c:pt idx="3">
                  <c:v>5379.79</c:v>
                </c:pt>
                <c:pt idx="4">
                  <c:v>8369.74</c:v>
                </c:pt>
                <c:pt idx="5">
                  <c:v>12939.560000000003</c:v>
                </c:pt>
                <c:pt idx="6">
                  <c:v>4929.78</c:v>
                </c:pt>
                <c:pt idx="7">
                  <c:v>11219.699999999999</c:v>
                </c:pt>
                <c:pt idx="8">
                  <c:v>2969.9399999999996</c:v>
                </c:pt>
              </c:numCache>
            </c:numRef>
          </c:val>
          <c:smooth val="0"/>
          <c:extLst>
            <c:ext xmlns:c16="http://schemas.microsoft.com/office/drawing/2014/chart" uri="{C3380CC4-5D6E-409C-BE32-E72D297353CC}">
              <c16:uniqueId val="{00000000-1D45-465B-9684-D9EA5062E0B3}"/>
            </c:ext>
          </c:extLst>
        </c:ser>
        <c:dLbls>
          <c:dLblPos val="ctr"/>
          <c:showLegendKey val="0"/>
          <c:showVal val="0"/>
          <c:showCatName val="0"/>
          <c:showSerName val="0"/>
          <c:showPercent val="0"/>
          <c:showBubbleSize val="0"/>
        </c:dLbls>
        <c:marker val="1"/>
        <c:smooth val="0"/>
        <c:axId val="2015601056"/>
        <c:axId val="2015599616"/>
      </c:lineChart>
      <c:catAx>
        <c:axId val="2015601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5599616"/>
        <c:crosses val="autoZero"/>
        <c:auto val="1"/>
        <c:lblAlgn val="ctr"/>
        <c:lblOffset val="100"/>
        <c:noMultiLvlLbl val="0"/>
      </c:catAx>
      <c:valAx>
        <c:axId val="2015599616"/>
        <c:scaling>
          <c:orientation val="minMax"/>
        </c:scaling>
        <c:delete val="0"/>
        <c:axPos val="l"/>
        <c:majorGridlines>
          <c:spPr>
            <a:ln w="6350" cap="flat" cmpd="sng" algn="ctr">
              <a:solidFill>
                <a:schemeClr val="tx1">
                  <a:lumMod val="15000"/>
                  <a:lumOff val="85000"/>
                </a:schemeClr>
              </a:solidFill>
              <a:prstDash val="sys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560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Project.xlsx]Bar Chart!PivotTable2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908056053654"/>
          <c:y val="4.858934669008988E-2"/>
          <c:w val="0.79998374862292243"/>
          <c:h val="0.86152737614339592"/>
        </c:manualLayout>
      </c:layout>
      <c:barChart>
        <c:barDir val="col"/>
        <c:grouping val="clustered"/>
        <c:varyColors val="0"/>
        <c:ser>
          <c:idx val="0"/>
          <c:order val="0"/>
          <c:tx>
            <c:strRef>
              <c:f>'Bar 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'Bar Chart'!$A$4:$A$6</c:f>
              <c:strCache>
                <c:ptCount val="2"/>
                <c:pt idx="0">
                  <c:v>Central</c:v>
                </c:pt>
                <c:pt idx="1">
                  <c:v>East</c:v>
                </c:pt>
              </c:strCache>
            </c:strRef>
          </c:cat>
          <c:val>
            <c:numRef>
              <c:f>'Bar Chart'!$B$4:$B$6</c:f>
              <c:numCache>
                <c:formatCode>General</c:formatCode>
                <c:ptCount val="2"/>
                <c:pt idx="0">
                  <c:v>26098.930000000011</c:v>
                </c:pt>
                <c:pt idx="1">
                  <c:v>44448.830000000009</c:v>
                </c:pt>
              </c:numCache>
            </c:numRef>
          </c:val>
          <c:extLst>
            <c:ext xmlns:c16="http://schemas.microsoft.com/office/drawing/2014/chart" uri="{C3380CC4-5D6E-409C-BE32-E72D297353CC}">
              <c16:uniqueId val="{00000000-DBCF-4D5B-9A12-E1E9BB70DFDC}"/>
            </c:ext>
          </c:extLst>
        </c:ser>
        <c:dLbls>
          <c:showLegendKey val="0"/>
          <c:showVal val="0"/>
          <c:showCatName val="0"/>
          <c:showSerName val="0"/>
          <c:showPercent val="0"/>
          <c:showBubbleSize val="0"/>
        </c:dLbls>
        <c:gapWidth val="315"/>
        <c:overlap val="-40"/>
        <c:axId val="1791841184"/>
        <c:axId val="1791842624"/>
      </c:barChart>
      <c:catAx>
        <c:axId val="1791841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1842624"/>
        <c:crosses val="autoZero"/>
        <c:auto val="1"/>
        <c:lblAlgn val="ctr"/>
        <c:lblOffset val="100"/>
        <c:noMultiLvlLbl val="0"/>
      </c:catAx>
      <c:valAx>
        <c:axId val="1791842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184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Project.xlsx]Pie Chart!PivotTable3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1"/>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pieChart>
        <c:varyColors val="1"/>
        <c:ser>
          <c:idx val="0"/>
          <c:order val="0"/>
          <c:tx>
            <c:strRef>
              <c:f>'Pie Chart'!$B$3</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CD30-42E1-820A-8627735F6797}"/>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CD30-42E1-820A-8627735F6797}"/>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CD30-42E1-820A-8627735F67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Chart'!$A$4:$A$7</c:f>
              <c:strCache>
                <c:ptCount val="3"/>
                <c:pt idx="0">
                  <c:v>Appliances</c:v>
                </c:pt>
                <c:pt idx="1">
                  <c:v>Electronics</c:v>
                </c:pt>
                <c:pt idx="2">
                  <c:v>Furniture</c:v>
                </c:pt>
              </c:strCache>
            </c:strRef>
          </c:cat>
          <c:val>
            <c:numRef>
              <c:f>'Pie Chart'!$B$4:$B$7</c:f>
              <c:numCache>
                <c:formatCode>General</c:formatCode>
                <c:ptCount val="3"/>
                <c:pt idx="0">
                  <c:v>3019.5599999999995</c:v>
                </c:pt>
                <c:pt idx="1">
                  <c:v>55628.779999999992</c:v>
                </c:pt>
                <c:pt idx="2">
                  <c:v>11899.419999999998</c:v>
                </c:pt>
              </c:numCache>
            </c:numRef>
          </c:val>
          <c:extLst>
            <c:ext xmlns:c16="http://schemas.microsoft.com/office/drawing/2014/chart" uri="{C3380CC4-5D6E-409C-BE32-E72D297353CC}">
              <c16:uniqueId val="{00000006-CD30-42E1-820A-8627735F679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Project.xlsx]Bar Chart1!PivotTable5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'Bar Chart1'!$A$4:$A$14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'Bar Chart1'!$B$4:$B$14</c:f>
              <c:numCache>
                <c:formatCode>General</c:formatCode>
                <c:ptCount val="10"/>
                <c:pt idx="0">
                  <c:v>1499.75</c:v>
                </c:pt>
                <c:pt idx="1">
                  <c:v>4499.7</c:v>
                </c:pt>
                <c:pt idx="2">
                  <c:v>1519.81</c:v>
                </c:pt>
                <c:pt idx="3">
                  <c:v>5399.8200000000006</c:v>
                </c:pt>
                <c:pt idx="4">
                  <c:v>2699.8199999999997</c:v>
                </c:pt>
                <c:pt idx="5">
                  <c:v>1979.78</c:v>
                </c:pt>
                <c:pt idx="6">
                  <c:v>29699.670000000002</c:v>
                </c:pt>
                <c:pt idx="7">
                  <c:v>7249.71</c:v>
                </c:pt>
                <c:pt idx="8">
                  <c:v>1999.9</c:v>
                </c:pt>
                <c:pt idx="9">
                  <c:v>13999.799999999997</c:v>
                </c:pt>
              </c:numCache>
            </c:numRef>
          </c:val>
          <c:extLst>
            <c:ext xmlns:c16="http://schemas.microsoft.com/office/drawing/2014/chart" uri="{C3380CC4-5D6E-409C-BE32-E72D297353CC}">
              <c16:uniqueId val="{00000001-A093-49A8-8638-30EBC01E613A}"/>
            </c:ext>
          </c:extLst>
        </c:ser>
        <c:dLbls>
          <c:showLegendKey val="0"/>
          <c:showVal val="0"/>
          <c:showCatName val="0"/>
          <c:showSerName val="0"/>
          <c:showPercent val="0"/>
          <c:showBubbleSize val="0"/>
        </c:dLbls>
        <c:gapWidth val="182"/>
        <c:overlap val="-50"/>
        <c:axId val="2006816864"/>
        <c:axId val="88594928"/>
      </c:barChart>
      <c:catAx>
        <c:axId val="2006816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594928"/>
        <c:crosses val="autoZero"/>
        <c:auto val="1"/>
        <c:lblAlgn val="ctr"/>
        <c:lblOffset val="100"/>
        <c:noMultiLvlLbl val="0"/>
      </c:catAx>
      <c:valAx>
        <c:axId val="88594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681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Project.xlsx]Dounut Chart!PivotTable6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1"/>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manualLayout>
          <c:layoutTarget val="inner"/>
          <c:xMode val="edge"/>
          <c:yMode val="edge"/>
          <c:x val="0.14685561136200564"/>
          <c:y val="0.14123005289201282"/>
          <c:w val="0.52020147250251747"/>
          <c:h val="0.72738122976115183"/>
        </c:manualLayout>
      </c:layout>
      <c:doughnutChart>
        <c:varyColors val="1"/>
        <c:ser>
          <c:idx val="0"/>
          <c:order val="0"/>
          <c:tx>
            <c:strRef>
              <c:f>'Dounut Chart'!$B$3</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839F-4130-826F-B31050F62447}"/>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839F-4130-826F-B31050F62447}"/>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839F-4130-826F-B31050F624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'Dounut Chart'!$A$4:$A$7</c:f>
              <c:strCache>
                <c:ptCount val="3"/>
                <c:pt idx="0">
                  <c:v>Basic</c:v>
                </c:pt>
                <c:pt idx="1">
                  <c:v>Premium</c:v>
                </c:pt>
                <c:pt idx="2">
                  <c:v>Standard</c:v>
                </c:pt>
              </c:strCache>
            </c:strRef>
          </c:cat>
          <c:val>
            <c:numRef>
              <c:f>'Dounut Chart'!$B$4:$B$7</c:f>
              <c:numCache>
                <c:formatCode>General</c:formatCode>
                <c:ptCount val="3"/>
                <c:pt idx="0">
                  <c:v>17369.39</c:v>
                </c:pt>
                <c:pt idx="1">
                  <c:v>30879.219999999998</c:v>
                </c:pt>
                <c:pt idx="2">
                  <c:v>22299.149999999998</c:v>
                </c:pt>
              </c:numCache>
            </c:numRef>
          </c:val>
          <c:extLst>
            <c:ext xmlns:c16="http://schemas.microsoft.com/office/drawing/2014/chart" uri="{C3380CC4-5D6E-409C-BE32-E72D297353CC}">
              <c16:uniqueId val="{00000006-839F-4130-826F-B31050F624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Project.xlsx]Line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over Month-Year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cat>
            <c:multiLvlStrRef>
              <c:f>'Line Chart'!$A$4:$A$15</c:f>
              <c:multiLvlStrCache>
                <c:ptCount val="9"/>
                <c:lvl>
                  <c:pt idx="0">
                    <c:v>Apr</c:v>
                  </c:pt>
                  <c:pt idx="1">
                    <c:v>May</c:v>
                  </c:pt>
                  <c:pt idx="2">
                    <c:v>Jun</c:v>
                  </c:pt>
                  <c:pt idx="3">
                    <c:v>Jul</c:v>
                  </c:pt>
                  <c:pt idx="4">
                    <c:v>Aug</c:v>
                  </c:pt>
                  <c:pt idx="5">
                    <c:v>Jan</c:v>
                  </c:pt>
                  <c:pt idx="6">
                    <c:v>Feb</c:v>
                  </c:pt>
                  <c:pt idx="7">
                    <c:v>Mar</c:v>
                  </c:pt>
                  <c:pt idx="8">
                    <c:v>Apr</c:v>
                  </c:pt>
                </c:lvl>
                <c:lvl>
                  <c:pt idx="0">
                    <c:v>2024</c:v>
                  </c:pt>
                  <c:pt idx="5">
                    <c:v>2025</c:v>
                  </c:pt>
                </c:lvl>
              </c:multiLvlStrCache>
            </c:multiLvlStrRef>
          </c:cat>
          <c:val>
            <c:numRef>
              <c:f>'Line Chart'!$B$4:$B$15</c:f>
              <c:numCache>
                <c:formatCode>General</c:formatCode>
                <c:ptCount val="9"/>
                <c:pt idx="0">
                  <c:v>4949.8600000000006</c:v>
                </c:pt>
                <c:pt idx="1">
                  <c:v>6069.76</c:v>
                </c:pt>
                <c:pt idx="2">
                  <c:v>13719.63</c:v>
                </c:pt>
                <c:pt idx="3">
                  <c:v>5379.79</c:v>
                </c:pt>
                <c:pt idx="4">
                  <c:v>8369.74</c:v>
                </c:pt>
                <c:pt idx="5">
                  <c:v>12939.560000000003</c:v>
                </c:pt>
                <c:pt idx="6">
                  <c:v>4929.78</c:v>
                </c:pt>
                <c:pt idx="7">
                  <c:v>11219.699999999999</c:v>
                </c:pt>
                <c:pt idx="8">
                  <c:v>2969.9399999999996</c:v>
                </c:pt>
              </c:numCache>
            </c:numRef>
          </c:val>
          <c:smooth val="0"/>
          <c:extLst>
            <c:ext xmlns:c16="http://schemas.microsoft.com/office/drawing/2014/chart" uri="{C3380CC4-5D6E-409C-BE32-E72D297353CC}">
              <c16:uniqueId val="{00000000-5E62-4BCA-8D87-2E980DFA285A}"/>
            </c:ext>
          </c:extLst>
        </c:ser>
        <c:dLbls>
          <c:showLegendKey val="0"/>
          <c:showVal val="0"/>
          <c:showCatName val="0"/>
          <c:showSerName val="0"/>
          <c:showPercent val="0"/>
          <c:showBubbleSize val="0"/>
        </c:dLbls>
        <c:marker val="1"/>
        <c:smooth val="0"/>
        <c:axId val="2015601056"/>
        <c:axId val="2015599616"/>
      </c:lineChart>
      <c:catAx>
        <c:axId val="20156010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5599616"/>
        <c:crosses val="autoZero"/>
        <c:auto val="1"/>
        <c:lblAlgn val="ctr"/>
        <c:lblOffset val="100"/>
        <c:noMultiLvlLbl val="0"/>
      </c:catAx>
      <c:valAx>
        <c:axId val="2015599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56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Project.xlsx]Pie Chart!PivotTable3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Contribution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pieChart>
        <c:varyColors val="1"/>
        <c:ser>
          <c:idx val="0"/>
          <c:order val="0"/>
          <c:tx>
            <c:strRef>
              <c:f>'Pie Chart'!$B$3</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C088-4B18-BEDB-4B0D56EF1E3E}"/>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C088-4B18-BEDB-4B0D56EF1E3E}"/>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C088-4B18-BEDB-4B0D56EF1E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Chart'!$A$4:$A$7</c:f>
              <c:strCache>
                <c:ptCount val="3"/>
                <c:pt idx="0">
                  <c:v>Appliances</c:v>
                </c:pt>
                <c:pt idx="1">
                  <c:v>Electronics</c:v>
                </c:pt>
                <c:pt idx="2">
                  <c:v>Furniture</c:v>
                </c:pt>
              </c:strCache>
            </c:strRef>
          </c:cat>
          <c:val>
            <c:numRef>
              <c:f>'Pie Chart'!$B$4:$B$7</c:f>
              <c:numCache>
                <c:formatCode>General</c:formatCode>
                <c:ptCount val="3"/>
                <c:pt idx="0">
                  <c:v>3019.5599999999995</c:v>
                </c:pt>
                <c:pt idx="1">
                  <c:v>55628.779999999992</c:v>
                </c:pt>
                <c:pt idx="2">
                  <c:v>11899.419999999998</c:v>
                </c:pt>
              </c:numCache>
            </c:numRef>
          </c:val>
          <c:extLst>
            <c:ext xmlns:c16="http://schemas.microsoft.com/office/drawing/2014/chart" uri="{C3380CC4-5D6E-409C-BE32-E72D297353CC}">
              <c16:uniqueId val="{00000000-E4B2-417D-999B-0BDD86B325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Project.xlsx]Bar Chart!PivotTable2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diamond"/>
          <c:size val="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Chart'!$A$4:$A$6</c:f>
              <c:strCache>
                <c:ptCount val="2"/>
                <c:pt idx="0">
                  <c:v>Central</c:v>
                </c:pt>
                <c:pt idx="1">
                  <c:v>East</c:v>
                </c:pt>
              </c:strCache>
            </c:strRef>
          </c:cat>
          <c:val>
            <c:numRef>
              <c:f>'Bar Chart'!$B$4:$B$6</c:f>
              <c:numCache>
                <c:formatCode>General</c:formatCode>
                <c:ptCount val="2"/>
                <c:pt idx="0">
                  <c:v>26098.930000000011</c:v>
                </c:pt>
                <c:pt idx="1">
                  <c:v>44448.830000000009</c:v>
                </c:pt>
              </c:numCache>
            </c:numRef>
          </c:val>
          <c:extLst>
            <c:ext xmlns:c16="http://schemas.microsoft.com/office/drawing/2014/chart" uri="{C3380CC4-5D6E-409C-BE32-E72D297353CC}">
              <c16:uniqueId val="{00000000-7273-4BD7-AE9F-0E10ACC11190}"/>
            </c:ext>
          </c:extLst>
        </c:ser>
        <c:dLbls>
          <c:dLblPos val="outEnd"/>
          <c:showLegendKey val="0"/>
          <c:showVal val="1"/>
          <c:showCatName val="0"/>
          <c:showSerName val="0"/>
          <c:showPercent val="0"/>
          <c:showBubbleSize val="0"/>
        </c:dLbls>
        <c:gapWidth val="115"/>
        <c:overlap val="-20"/>
        <c:axId val="1791841184"/>
        <c:axId val="1791842624"/>
      </c:barChart>
      <c:catAx>
        <c:axId val="17918411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1842624"/>
        <c:crosses val="autoZero"/>
        <c:auto val="1"/>
        <c:lblAlgn val="ctr"/>
        <c:lblOffset val="100"/>
        <c:noMultiLvlLbl val="0"/>
      </c:catAx>
      <c:valAx>
        <c:axId val="17918426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184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Project.xlsx]Bar Chart1!PivotTable5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Total amount of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Chart1'!$B$3</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Ref>
              <c:f>'Bar Chart1'!$A$4:$A$14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'Bar Chart1'!$B$4:$B$14</c:f>
              <c:numCache>
                <c:formatCode>General</c:formatCode>
                <c:ptCount val="10"/>
                <c:pt idx="0">
                  <c:v>1499.75</c:v>
                </c:pt>
                <c:pt idx="1">
                  <c:v>4499.7</c:v>
                </c:pt>
                <c:pt idx="2">
                  <c:v>1519.81</c:v>
                </c:pt>
                <c:pt idx="3">
                  <c:v>5399.8200000000006</c:v>
                </c:pt>
                <c:pt idx="4">
                  <c:v>2699.8199999999997</c:v>
                </c:pt>
                <c:pt idx="5">
                  <c:v>1979.78</c:v>
                </c:pt>
                <c:pt idx="6">
                  <c:v>29699.670000000002</c:v>
                </c:pt>
                <c:pt idx="7">
                  <c:v>7249.71</c:v>
                </c:pt>
                <c:pt idx="8">
                  <c:v>1999.9</c:v>
                </c:pt>
                <c:pt idx="9">
                  <c:v>13999.799999999997</c:v>
                </c:pt>
              </c:numCache>
            </c:numRef>
          </c:val>
          <c:extLst>
            <c:ext xmlns:c16="http://schemas.microsoft.com/office/drawing/2014/chart" uri="{C3380CC4-5D6E-409C-BE32-E72D297353CC}">
              <c16:uniqueId val="{00000000-4A2C-4FE8-96F8-BFF9E04A483D}"/>
            </c:ext>
          </c:extLst>
        </c:ser>
        <c:dLbls>
          <c:showLegendKey val="0"/>
          <c:showVal val="0"/>
          <c:showCatName val="0"/>
          <c:showSerName val="0"/>
          <c:showPercent val="0"/>
          <c:showBubbleSize val="0"/>
        </c:dLbls>
        <c:gapWidth val="100"/>
        <c:overlap val="-24"/>
        <c:axId val="2006816864"/>
        <c:axId val="88594928"/>
      </c:barChart>
      <c:catAx>
        <c:axId val="2006816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94928"/>
        <c:crosses val="autoZero"/>
        <c:auto val="1"/>
        <c:lblAlgn val="ctr"/>
        <c:lblOffset val="100"/>
        <c:noMultiLvlLbl val="0"/>
      </c:catAx>
      <c:valAx>
        <c:axId val="88594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8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Project.xlsx]Dounut Chart!PivotTable6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Segment</a:t>
            </a:r>
            <a:endParaRPr lang="en-US"/>
          </a:p>
        </c:rich>
      </c:tx>
      <c:layout>
        <c:manualLayout>
          <c:xMode val="edge"/>
          <c:yMode val="edge"/>
          <c:x val="0.24805555555555556"/>
          <c:y val="0.1136993292505103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doughnutChart>
        <c:varyColors val="1"/>
        <c:ser>
          <c:idx val="0"/>
          <c:order val="0"/>
          <c:tx>
            <c:strRef>
              <c:f>'Dounut Chart'!$B$3</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1-9A49-4B2B-B3EE-DE226EF486F4}"/>
              </c:ext>
            </c:extLst>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3-9A49-4B2B-B3EE-DE226EF486F4}"/>
              </c:ext>
            </c:extLst>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extLst>
              <c:ext xmlns:c16="http://schemas.microsoft.com/office/drawing/2014/chart" uri="{C3380CC4-5D6E-409C-BE32-E72D297353CC}">
                <c16:uniqueId val="{00000005-9A49-4B2B-B3EE-DE226EF486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'Dounut Chart'!$A$4:$A$7</c:f>
              <c:strCache>
                <c:ptCount val="3"/>
                <c:pt idx="0">
                  <c:v>Basic</c:v>
                </c:pt>
                <c:pt idx="1">
                  <c:v>Premium</c:v>
                </c:pt>
                <c:pt idx="2">
                  <c:v>Standard</c:v>
                </c:pt>
              </c:strCache>
            </c:strRef>
          </c:cat>
          <c:val>
            <c:numRef>
              <c:f>'Dounut Chart'!$B$4:$B$7</c:f>
              <c:numCache>
                <c:formatCode>General</c:formatCode>
                <c:ptCount val="3"/>
                <c:pt idx="0">
                  <c:v>17369.39</c:v>
                </c:pt>
                <c:pt idx="1">
                  <c:v>30879.219999999998</c:v>
                </c:pt>
                <c:pt idx="2">
                  <c:v>22299.149999999998</c:v>
                </c:pt>
              </c:numCache>
            </c:numRef>
          </c:val>
          <c:extLst>
            <c:ext xmlns:c16="http://schemas.microsoft.com/office/drawing/2014/chart" uri="{C3380CC4-5D6E-409C-BE32-E72D297353CC}">
              <c16:uniqueId val="{00000000-3904-4B7D-8DD7-DE3F47D354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237613</xdr:colOff>
      <xdr:row>8</xdr:row>
      <xdr:rowOff>81935</xdr:rowOff>
    </xdr:from>
    <xdr:to>
      <xdr:col>8</xdr:col>
      <xdr:colOff>513976</xdr:colOff>
      <xdr:row>29</xdr:row>
      <xdr:rowOff>106515</xdr:rowOff>
    </xdr:to>
    <xdr:sp macro="" textlink="">
      <xdr:nvSpPr>
        <xdr:cNvPr id="2" name="Rectangle: Rounded Corners 1">
          <a:extLst>
            <a:ext uri="{FF2B5EF4-FFF2-40B4-BE49-F238E27FC236}">
              <a16:creationId xmlns:a16="http://schemas.microsoft.com/office/drawing/2014/main" id="{2B3E55D7-E3E3-4481-B240-501364EAF4FD}"/>
            </a:ext>
          </a:extLst>
        </xdr:cNvPr>
        <xdr:cNvSpPr/>
      </xdr:nvSpPr>
      <xdr:spPr>
        <a:xfrm>
          <a:off x="2056581" y="1524000"/>
          <a:ext cx="3307976" cy="3809999"/>
        </a:xfrm>
        <a:prstGeom prst="roundRect">
          <a:avLst>
            <a:gd name="adj" fmla="val 8498"/>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49161</xdr:colOff>
      <xdr:row>0</xdr:row>
      <xdr:rowOff>57355</xdr:rowOff>
    </xdr:from>
    <xdr:to>
      <xdr:col>8</xdr:col>
      <xdr:colOff>417870</xdr:colOff>
      <xdr:row>2</xdr:row>
      <xdr:rowOff>107382</xdr:rowOff>
    </xdr:to>
    <xdr:sp macro="" textlink="">
      <xdr:nvSpPr>
        <xdr:cNvPr id="3" name="Rectangle: Rounded Corners 2">
          <a:extLst>
            <a:ext uri="{FF2B5EF4-FFF2-40B4-BE49-F238E27FC236}">
              <a16:creationId xmlns:a16="http://schemas.microsoft.com/office/drawing/2014/main" id="{A34998EF-47C3-4787-88D6-582ABE6D961F}"/>
            </a:ext>
          </a:extLst>
        </xdr:cNvPr>
        <xdr:cNvSpPr/>
      </xdr:nvSpPr>
      <xdr:spPr>
        <a:xfrm>
          <a:off x="49161" y="57355"/>
          <a:ext cx="5219290" cy="410543"/>
        </a:xfrm>
        <a:prstGeom prst="roundRect">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Sales &amp; Customer Analysis Report</a:t>
          </a:r>
          <a:endParaRPr lang="en-IN" sz="1100" b="1"/>
        </a:p>
      </xdr:txBody>
    </xdr:sp>
    <xdr:clientData/>
  </xdr:twoCellAnchor>
  <xdr:twoCellAnchor>
    <xdr:from>
      <xdr:col>0</xdr:col>
      <xdr:colOff>73742</xdr:colOff>
      <xdr:row>2</xdr:row>
      <xdr:rowOff>131095</xdr:rowOff>
    </xdr:from>
    <xdr:to>
      <xdr:col>3</xdr:col>
      <xdr:colOff>191972</xdr:colOff>
      <xdr:row>29</xdr:row>
      <xdr:rowOff>57352</xdr:rowOff>
    </xdr:to>
    <xdr:sp macro="" textlink="">
      <xdr:nvSpPr>
        <xdr:cNvPr id="5" name="Rectangle: Rounded Corners 4">
          <a:extLst>
            <a:ext uri="{FF2B5EF4-FFF2-40B4-BE49-F238E27FC236}">
              <a16:creationId xmlns:a16="http://schemas.microsoft.com/office/drawing/2014/main" id="{1D2BF168-6E65-98F9-C7DC-F0FB041B0BBD}"/>
            </a:ext>
          </a:extLst>
        </xdr:cNvPr>
        <xdr:cNvSpPr/>
      </xdr:nvSpPr>
      <xdr:spPr>
        <a:xfrm>
          <a:off x="73742" y="491611"/>
          <a:ext cx="1937198" cy="4793225"/>
        </a:xfrm>
        <a:prstGeom prst="roundRect">
          <a:avLst>
            <a:gd name="adj" fmla="val 11791"/>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598130</xdr:colOff>
      <xdr:row>13</xdr:row>
      <xdr:rowOff>155678</xdr:rowOff>
    </xdr:from>
    <xdr:to>
      <xdr:col>24</xdr:col>
      <xdr:colOff>524387</xdr:colOff>
      <xdr:row>29</xdr:row>
      <xdr:rowOff>65549</xdr:rowOff>
    </xdr:to>
    <xdr:sp macro="" textlink="">
      <xdr:nvSpPr>
        <xdr:cNvPr id="8" name="Rectangle: Rounded Corners 7">
          <a:extLst>
            <a:ext uri="{FF2B5EF4-FFF2-40B4-BE49-F238E27FC236}">
              <a16:creationId xmlns:a16="http://schemas.microsoft.com/office/drawing/2014/main" id="{2FB913D4-44B0-43AE-B04B-CCF5E3F12737}"/>
            </a:ext>
          </a:extLst>
        </xdr:cNvPr>
        <xdr:cNvSpPr/>
      </xdr:nvSpPr>
      <xdr:spPr>
        <a:xfrm>
          <a:off x="10299291" y="2499033"/>
          <a:ext cx="4776838" cy="2794000"/>
        </a:xfrm>
        <a:prstGeom prst="roundRect">
          <a:avLst>
            <a:gd name="adj" fmla="val 8498"/>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599768</xdr:colOff>
      <xdr:row>0</xdr:row>
      <xdr:rowOff>65549</xdr:rowOff>
    </xdr:from>
    <xdr:to>
      <xdr:col>14</xdr:col>
      <xdr:colOff>8194</xdr:colOff>
      <xdr:row>13</xdr:row>
      <xdr:rowOff>139291</xdr:rowOff>
    </xdr:to>
    <xdr:sp macro="" textlink="">
      <xdr:nvSpPr>
        <xdr:cNvPr id="9" name="Rectangle: Rounded Corners 8">
          <a:extLst>
            <a:ext uri="{FF2B5EF4-FFF2-40B4-BE49-F238E27FC236}">
              <a16:creationId xmlns:a16="http://schemas.microsoft.com/office/drawing/2014/main" id="{50DCA089-45BF-4EB5-9854-C2FA731D90A3}"/>
            </a:ext>
          </a:extLst>
        </xdr:cNvPr>
        <xdr:cNvSpPr/>
      </xdr:nvSpPr>
      <xdr:spPr>
        <a:xfrm>
          <a:off x="5450349" y="65549"/>
          <a:ext cx="3046361" cy="2417097"/>
        </a:xfrm>
        <a:prstGeom prst="roundRect">
          <a:avLst>
            <a:gd name="adj" fmla="val 8498"/>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24581</xdr:colOff>
      <xdr:row>29</xdr:row>
      <xdr:rowOff>131102</xdr:rowOff>
    </xdr:from>
    <xdr:to>
      <xdr:col>25</xdr:col>
      <xdr:colOff>0</xdr:colOff>
      <xdr:row>29</xdr:row>
      <xdr:rowOff>131102</xdr:rowOff>
    </xdr:to>
    <xdr:cxnSp macro="">
      <xdr:nvCxnSpPr>
        <xdr:cNvPr id="13" name="Straight Connector 12">
          <a:extLst>
            <a:ext uri="{FF2B5EF4-FFF2-40B4-BE49-F238E27FC236}">
              <a16:creationId xmlns:a16="http://schemas.microsoft.com/office/drawing/2014/main" id="{3FF7F739-80D4-6DCF-3B0E-603CFC4290B5}"/>
            </a:ext>
          </a:extLst>
        </xdr:cNvPr>
        <xdr:cNvCxnSpPr/>
      </xdr:nvCxnSpPr>
      <xdr:spPr>
        <a:xfrm>
          <a:off x="24581" y="5358586"/>
          <a:ext cx="15133484"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19</xdr:col>
      <xdr:colOff>172064</xdr:colOff>
      <xdr:row>7</xdr:row>
      <xdr:rowOff>34412</xdr:rowOff>
    </xdr:from>
    <xdr:to>
      <xdr:col>24</xdr:col>
      <xdr:colOff>540774</xdr:colOff>
      <xdr:row>13</xdr:row>
      <xdr:rowOff>32774</xdr:rowOff>
    </xdr:to>
    <xdr:sp macro="" textlink="">
      <xdr:nvSpPr>
        <xdr:cNvPr id="16" name="Rectangle: Rounded Corners 15">
          <a:extLst>
            <a:ext uri="{FF2B5EF4-FFF2-40B4-BE49-F238E27FC236}">
              <a16:creationId xmlns:a16="http://schemas.microsoft.com/office/drawing/2014/main" id="{EBDED370-8D2F-4A59-8B81-57AF939A0D15}"/>
            </a:ext>
          </a:extLst>
        </xdr:cNvPr>
        <xdr:cNvSpPr/>
      </xdr:nvSpPr>
      <xdr:spPr>
        <a:xfrm>
          <a:off x="11692193" y="1296218"/>
          <a:ext cx="3400323" cy="1079911"/>
        </a:xfrm>
        <a:prstGeom prst="roundRect">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270387</xdr:colOff>
      <xdr:row>3</xdr:row>
      <xdr:rowOff>8195</xdr:rowOff>
    </xdr:from>
    <xdr:to>
      <xdr:col>8</xdr:col>
      <xdr:colOff>540774</xdr:colOff>
      <xdr:row>8</xdr:row>
      <xdr:rowOff>49161</xdr:rowOff>
    </xdr:to>
    <xdr:sp macro="" textlink="">
      <xdr:nvSpPr>
        <xdr:cNvPr id="17" name="Rectangle: Rounded Corners 16">
          <a:extLst>
            <a:ext uri="{FF2B5EF4-FFF2-40B4-BE49-F238E27FC236}">
              <a16:creationId xmlns:a16="http://schemas.microsoft.com/office/drawing/2014/main" id="{77D329B4-6AB5-46B5-A08B-29E72F3E798E}"/>
            </a:ext>
          </a:extLst>
        </xdr:cNvPr>
        <xdr:cNvSpPr/>
      </xdr:nvSpPr>
      <xdr:spPr>
        <a:xfrm>
          <a:off x="2089355" y="548969"/>
          <a:ext cx="3302000" cy="942257"/>
        </a:xfrm>
        <a:prstGeom prst="roundRect">
          <a:avLst>
            <a:gd name="adj" fmla="val 8498"/>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575183</xdr:colOff>
      <xdr:row>14</xdr:row>
      <xdr:rowOff>24581</xdr:rowOff>
    </xdr:from>
    <xdr:to>
      <xdr:col>16</xdr:col>
      <xdr:colOff>491612</xdr:colOff>
      <xdr:row>29</xdr:row>
      <xdr:rowOff>131096</xdr:rowOff>
    </xdr:to>
    <xdr:sp macro="" textlink="">
      <xdr:nvSpPr>
        <xdr:cNvPr id="18" name="Rectangle: Rounded Corners 17">
          <a:extLst>
            <a:ext uri="{FF2B5EF4-FFF2-40B4-BE49-F238E27FC236}">
              <a16:creationId xmlns:a16="http://schemas.microsoft.com/office/drawing/2014/main" id="{8B7F02D7-FDBA-432B-902B-FA265B586314}"/>
            </a:ext>
          </a:extLst>
        </xdr:cNvPr>
        <xdr:cNvSpPr/>
      </xdr:nvSpPr>
      <xdr:spPr>
        <a:xfrm>
          <a:off x="5425764" y="2548194"/>
          <a:ext cx="4767009" cy="2810386"/>
        </a:xfrm>
        <a:prstGeom prst="roundRect">
          <a:avLst>
            <a:gd name="adj" fmla="val 8498"/>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172065</xdr:colOff>
      <xdr:row>0</xdr:row>
      <xdr:rowOff>65549</xdr:rowOff>
    </xdr:from>
    <xdr:to>
      <xdr:col>24</xdr:col>
      <xdr:colOff>594272</xdr:colOff>
      <xdr:row>6</xdr:row>
      <xdr:rowOff>136103</xdr:rowOff>
    </xdr:to>
    <xdr:grpSp>
      <xdr:nvGrpSpPr>
        <xdr:cNvPr id="20" name="Group 19">
          <a:extLst>
            <a:ext uri="{FF2B5EF4-FFF2-40B4-BE49-F238E27FC236}">
              <a16:creationId xmlns:a16="http://schemas.microsoft.com/office/drawing/2014/main" id="{E1A5DA59-72EC-0CD6-62E0-74E9A415D887}"/>
            </a:ext>
          </a:extLst>
        </xdr:cNvPr>
        <xdr:cNvGrpSpPr/>
      </xdr:nvGrpSpPr>
      <xdr:grpSpPr>
        <a:xfrm>
          <a:off x="11692194" y="65549"/>
          <a:ext cx="3453820" cy="1152102"/>
          <a:chOff x="11746270" y="16387"/>
          <a:chExt cx="3416131" cy="1152102"/>
        </a:xfrm>
        <a:effectLst>
          <a:glow rad="63500">
            <a:schemeClr val="accent2">
              <a:satMod val="175000"/>
              <a:alpha val="40000"/>
            </a:schemeClr>
          </a:glow>
        </a:effectLst>
      </xdr:grpSpPr>
      <xdr:sp macro="" textlink="">
        <xdr:nvSpPr>
          <xdr:cNvPr id="14" name="Rectangle: Rounded Corners 13">
            <a:extLst>
              <a:ext uri="{FF2B5EF4-FFF2-40B4-BE49-F238E27FC236}">
                <a16:creationId xmlns:a16="http://schemas.microsoft.com/office/drawing/2014/main" id="{5678DEA3-A103-4EF6-A0A5-9D9AEE0CE4AF}"/>
              </a:ext>
            </a:extLst>
          </xdr:cNvPr>
          <xdr:cNvSpPr/>
        </xdr:nvSpPr>
        <xdr:spPr>
          <a:xfrm>
            <a:off x="13486580" y="16387"/>
            <a:ext cx="1675821" cy="114718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45830677-660D-4693-BF12-6792054066B7}"/>
              </a:ext>
            </a:extLst>
          </xdr:cNvPr>
          <xdr:cNvSpPr/>
        </xdr:nvSpPr>
        <xdr:spPr>
          <a:xfrm>
            <a:off x="11746270" y="21304"/>
            <a:ext cx="1675821" cy="1147185"/>
          </a:xfrm>
          <a:prstGeom prst="roundRect">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55716</xdr:colOff>
      <xdr:row>0</xdr:row>
      <xdr:rowOff>73742</xdr:rowOff>
    </xdr:from>
    <xdr:to>
      <xdr:col>19</xdr:col>
      <xdr:colOff>70464</xdr:colOff>
      <xdr:row>13</xdr:row>
      <xdr:rowOff>147484</xdr:rowOff>
    </xdr:to>
    <xdr:sp macro="" textlink="">
      <xdr:nvSpPr>
        <xdr:cNvPr id="21" name="Rectangle: Rounded Corners 20">
          <a:extLst>
            <a:ext uri="{FF2B5EF4-FFF2-40B4-BE49-F238E27FC236}">
              <a16:creationId xmlns:a16="http://schemas.microsoft.com/office/drawing/2014/main" id="{7B64B7ED-8EC1-4F04-A2A6-EBB0AA592E40}"/>
            </a:ext>
          </a:extLst>
        </xdr:cNvPr>
        <xdr:cNvSpPr/>
      </xdr:nvSpPr>
      <xdr:spPr>
        <a:xfrm>
          <a:off x="8544232" y="73742"/>
          <a:ext cx="3046361" cy="2417097"/>
        </a:xfrm>
        <a:prstGeom prst="roundRect">
          <a:avLst>
            <a:gd name="adj" fmla="val 8498"/>
          </a:avLst>
        </a:prstGeom>
        <a:solidFill>
          <a:schemeClr val="tx1"/>
        </a:solidFill>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106517</xdr:colOff>
      <xdr:row>7</xdr:row>
      <xdr:rowOff>98323</xdr:rowOff>
    </xdr:from>
    <xdr:to>
      <xdr:col>3</xdr:col>
      <xdr:colOff>116349</xdr:colOff>
      <xdr:row>18</xdr:row>
      <xdr:rowOff>106515</xdr:rowOff>
    </xdr:to>
    <mc:AlternateContent xmlns:mc="http://schemas.openxmlformats.org/markup-compatibility/2006">
      <mc:Choice xmlns:a14="http://schemas.microsoft.com/office/drawing/2010/main" Requires="a14">
        <xdr:graphicFrame macro="">
          <xdr:nvGraphicFramePr>
            <xdr:cNvPr id="22" name="Months (Date) 1">
              <a:extLst>
                <a:ext uri="{FF2B5EF4-FFF2-40B4-BE49-F238E27FC236}">
                  <a16:creationId xmlns:a16="http://schemas.microsoft.com/office/drawing/2014/main" id="{E65AB876-BA42-4AEC-B90C-B0F91CBB4DB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06517" y="1360129"/>
              <a:ext cx="1828800" cy="1991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327742</xdr:colOff>
      <xdr:row>3</xdr:row>
      <xdr:rowOff>125114</xdr:rowOff>
    </xdr:from>
    <xdr:to>
      <xdr:col>8</xdr:col>
      <xdr:colOff>467032</xdr:colOff>
      <xdr:row>7</xdr:row>
      <xdr:rowOff>81935</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B46FBB6D-3F75-4F5F-9EBA-B6D81C71625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46710" y="665888"/>
              <a:ext cx="3170903" cy="677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114710</xdr:colOff>
      <xdr:row>18</xdr:row>
      <xdr:rowOff>180257</xdr:rowOff>
    </xdr:from>
    <xdr:to>
      <xdr:col>3</xdr:col>
      <xdr:colOff>65548</xdr:colOff>
      <xdr:row>28</xdr:row>
      <xdr:rowOff>65548</xdr:rowOff>
    </xdr:to>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2D70F0A3-DA9C-459D-8298-EB9D3C3ED7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710" y="3424902"/>
              <a:ext cx="1769806" cy="1687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175014</xdr:colOff>
      <xdr:row>3</xdr:row>
      <xdr:rowOff>98321</xdr:rowOff>
    </xdr:from>
    <xdr:to>
      <xdr:col>3</xdr:col>
      <xdr:colOff>184846</xdr:colOff>
      <xdr:row>7</xdr:row>
      <xdr:rowOff>24580</xdr:rowOff>
    </xdr:to>
    <mc:AlternateContent xmlns:mc="http://schemas.openxmlformats.org/markup-compatibility/2006">
      <mc:Choice xmlns:a14="http://schemas.microsoft.com/office/drawing/2010/main" Requires="a14">
        <xdr:graphicFrame macro="">
          <xdr:nvGraphicFramePr>
            <xdr:cNvPr id="25" name="Years (Date) 1">
              <a:extLst>
                <a:ext uri="{FF2B5EF4-FFF2-40B4-BE49-F238E27FC236}">
                  <a16:creationId xmlns:a16="http://schemas.microsoft.com/office/drawing/2014/main" id="{7FAAF8B9-E121-4593-A293-A05335299D50}"/>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75014" y="639095"/>
              <a:ext cx="1828800" cy="647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204839</xdr:colOff>
      <xdr:row>17</xdr:row>
      <xdr:rowOff>0</xdr:rowOff>
    </xdr:from>
    <xdr:to>
      <xdr:col>16</xdr:col>
      <xdr:colOff>221226</xdr:colOff>
      <xdr:row>29</xdr:row>
      <xdr:rowOff>24581</xdr:rowOff>
    </xdr:to>
    <xdr:graphicFrame macro="">
      <xdr:nvGraphicFramePr>
        <xdr:cNvPr id="26" name="Chart 25">
          <a:extLst>
            <a:ext uri="{FF2B5EF4-FFF2-40B4-BE49-F238E27FC236}">
              <a16:creationId xmlns:a16="http://schemas.microsoft.com/office/drawing/2014/main" id="{D34921D5-9172-46DF-A5DF-D74D03DED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360515</xdr:colOff>
      <xdr:row>11</xdr:row>
      <xdr:rowOff>40968</xdr:rowOff>
    </xdr:from>
    <xdr:to>
      <xdr:col>8</xdr:col>
      <xdr:colOff>417871</xdr:colOff>
      <xdr:row>28</xdr:row>
      <xdr:rowOff>113071</xdr:rowOff>
    </xdr:to>
    <xdr:graphicFrame macro="">
      <xdr:nvGraphicFramePr>
        <xdr:cNvPr id="27" name="Chart 26">
          <a:extLst>
            <a:ext uri="{FF2B5EF4-FFF2-40B4-BE49-F238E27FC236}">
              <a16:creationId xmlns:a16="http://schemas.microsoft.com/office/drawing/2014/main" id="{67509795-6877-47C7-A27C-CF6BDC9FC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229420</xdr:colOff>
      <xdr:row>2</xdr:row>
      <xdr:rowOff>163871</xdr:rowOff>
    </xdr:from>
    <xdr:to>
      <xdr:col>13</xdr:col>
      <xdr:colOff>573547</xdr:colOff>
      <xdr:row>12</xdr:row>
      <xdr:rowOff>172064</xdr:rowOff>
    </xdr:to>
    <xdr:graphicFrame macro="">
      <xdr:nvGraphicFramePr>
        <xdr:cNvPr id="28" name="Chart 27">
          <a:extLst>
            <a:ext uri="{FF2B5EF4-FFF2-40B4-BE49-F238E27FC236}">
              <a16:creationId xmlns:a16="http://schemas.microsoft.com/office/drawing/2014/main" id="{4973BB49-9B15-413B-ACAF-86F5420C6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311354</xdr:colOff>
      <xdr:row>16</xdr:row>
      <xdr:rowOff>81936</xdr:rowOff>
    </xdr:from>
    <xdr:to>
      <xdr:col>24</xdr:col>
      <xdr:colOff>245806</xdr:colOff>
      <xdr:row>28</xdr:row>
      <xdr:rowOff>98321</xdr:rowOff>
    </xdr:to>
    <xdr:graphicFrame macro="">
      <xdr:nvGraphicFramePr>
        <xdr:cNvPr id="29" name="Chart 28">
          <a:extLst>
            <a:ext uri="{FF2B5EF4-FFF2-40B4-BE49-F238E27FC236}">
              <a16:creationId xmlns:a16="http://schemas.microsoft.com/office/drawing/2014/main" id="{99EFFF3C-BDD0-4B3D-8BFB-CBB63925F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49163</xdr:colOff>
      <xdr:row>2</xdr:row>
      <xdr:rowOff>73742</xdr:rowOff>
    </xdr:from>
    <xdr:to>
      <xdr:col>18</xdr:col>
      <xdr:colOff>467033</xdr:colOff>
      <xdr:row>13</xdr:row>
      <xdr:rowOff>155676</xdr:rowOff>
    </xdr:to>
    <xdr:graphicFrame macro="">
      <xdr:nvGraphicFramePr>
        <xdr:cNvPr id="30" name="Chart 29">
          <a:extLst>
            <a:ext uri="{FF2B5EF4-FFF2-40B4-BE49-F238E27FC236}">
              <a16:creationId xmlns:a16="http://schemas.microsoft.com/office/drawing/2014/main" id="{EF4D6DC7-D40E-415A-8278-C28A17AD5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508000</xdr:colOff>
      <xdr:row>10</xdr:row>
      <xdr:rowOff>49162</xdr:rowOff>
    </xdr:from>
    <xdr:to>
      <xdr:col>24</xdr:col>
      <xdr:colOff>8193</xdr:colOff>
      <xdr:row>12</xdr:row>
      <xdr:rowOff>155678</xdr:rowOff>
    </xdr:to>
    <xdr:sp macro="" textlink="">
      <xdr:nvSpPr>
        <xdr:cNvPr id="31" name="TextBox 30">
          <a:extLst>
            <a:ext uri="{FF2B5EF4-FFF2-40B4-BE49-F238E27FC236}">
              <a16:creationId xmlns:a16="http://schemas.microsoft.com/office/drawing/2014/main" id="{E77C721C-DA9E-3AC0-FDA8-CDA21001B92A}"/>
            </a:ext>
          </a:extLst>
        </xdr:cNvPr>
        <xdr:cNvSpPr txBox="1"/>
      </xdr:nvSpPr>
      <xdr:spPr>
        <a:xfrm>
          <a:off x="12028129" y="1851743"/>
          <a:ext cx="2531806" cy="46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solidFill>
            </a:rPr>
            <a:t>Total Revenue</a:t>
          </a:r>
        </a:p>
      </xdr:txBody>
    </xdr:sp>
    <xdr:clientData/>
  </xdr:twoCellAnchor>
  <xdr:twoCellAnchor>
    <xdr:from>
      <xdr:col>20</xdr:col>
      <xdr:colOff>147483</xdr:colOff>
      <xdr:row>7</xdr:row>
      <xdr:rowOff>90129</xdr:rowOff>
    </xdr:from>
    <xdr:to>
      <xdr:col>23</xdr:col>
      <xdr:colOff>245807</xdr:colOff>
      <xdr:row>9</xdr:row>
      <xdr:rowOff>98322</xdr:rowOff>
    </xdr:to>
    <xdr:sp macro="" textlink="'Line Chart'!B21">
      <xdr:nvSpPr>
        <xdr:cNvPr id="32" name="TextBox 31">
          <a:extLst>
            <a:ext uri="{FF2B5EF4-FFF2-40B4-BE49-F238E27FC236}">
              <a16:creationId xmlns:a16="http://schemas.microsoft.com/office/drawing/2014/main" id="{CF162FBF-92E7-A76E-5C4E-FE196513E4DA}"/>
            </a:ext>
          </a:extLst>
        </xdr:cNvPr>
        <xdr:cNvSpPr txBox="1"/>
      </xdr:nvSpPr>
      <xdr:spPr>
        <a:xfrm>
          <a:off x="12273935" y="1351935"/>
          <a:ext cx="1917291"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0F43E5-D4B7-4745-B8A9-7FE13BA19B16}" type="TxLink">
            <a:rPr lang="en-US" sz="2400" b="1" i="0" u="none" strike="noStrike">
              <a:solidFill>
                <a:schemeClr val="bg1"/>
              </a:solidFill>
              <a:latin typeface="Calibri"/>
              <a:ea typeface="Calibri"/>
              <a:cs typeface="Calibri"/>
            </a:rPr>
            <a:pPr algn="ctr"/>
            <a:t> ₹ 70,547.76 </a:t>
          </a:fld>
          <a:endParaRPr lang="en-IN" sz="1100" b="1">
            <a:solidFill>
              <a:schemeClr val="bg1"/>
            </a:solidFill>
          </a:endParaRPr>
        </a:p>
      </xdr:txBody>
    </xdr:sp>
    <xdr:clientData/>
  </xdr:twoCellAnchor>
  <xdr:twoCellAnchor>
    <xdr:from>
      <xdr:col>19</xdr:col>
      <xdr:colOff>204839</xdr:colOff>
      <xdr:row>3</xdr:row>
      <xdr:rowOff>139292</xdr:rowOff>
    </xdr:from>
    <xdr:to>
      <xdr:col>22</xdr:col>
      <xdr:colOff>16387</xdr:colOff>
      <xdr:row>7</xdr:row>
      <xdr:rowOff>8194</xdr:rowOff>
    </xdr:to>
    <xdr:sp macro="" textlink="">
      <xdr:nvSpPr>
        <xdr:cNvPr id="33" name="TextBox 32">
          <a:extLst>
            <a:ext uri="{FF2B5EF4-FFF2-40B4-BE49-F238E27FC236}">
              <a16:creationId xmlns:a16="http://schemas.microsoft.com/office/drawing/2014/main" id="{DA52EDAA-086C-8885-1C31-B30CF29F30F0}"/>
            </a:ext>
          </a:extLst>
        </xdr:cNvPr>
        <xdr:cNvSpPr txBox="1"/>
      </xdr:nvSpPr>
      <xdr:spPr>
        <a:xfrm>
          <a:off x="11724968" y="680066"/>
          <a:ext cx="1630516" cy="589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2"/>
              </a:solidFill>
            </a:rPr>
            <a:t>Total Customers</a:t>
          </a:r>
        </a:p>
        <a:p>
          <a:endParaRPr lang="en-IN" sz="1200"/>
        </a:p>
      </xdr:txBody>
    </xdr:sp>
    <xdr:clientData/>
  </xdr:twoCellAnchor>
  <xdr:twoCellAnchor>
    <xdr:from>
      <xdr:col>19</xdr:col>
      <xdr:colOff>588310</xdr:colOff>
      <xdr:row>1</xdr:row>
      <xdr:rowOff>40968</xdr:rowOff>
    </xdr:from>
    <xdr:to>
      <xdr:col>21</xdr:col>
      <xdr:colOff>296593</xdr:colOff>
      <xdr:row>3</xdr:row>
      <xdr:rowOff>57355</xdr:rowOff>
    </xdr:to>
    <xdr:sp macro="" textlink="'Total Customers'!A4">
      <xdr:nvSpPr>
        <xdr:cNvPr id="34" name="TextBox 33">
          <a:extLst>
            <a:ext uri="{FF2B5EF4-FFF2-40B4-BE49-F238E27FC236}">
              <a16:creationId xmlns:a16="http://schemas.microsoft.com/office/drawing/2014/main" id="{542FCCEF-4F78-4A99-5C8B-4FC962A783DC}"/>
            </a:ext>
          </a:extLst>
        </xdr:cNvPr>
        <xdr:cNvSpPr txBox="1"/>
      </xdr:nvSpPr>
      <xdr:spPr>
        <a:xfrm>
          <a:off x="12108439" y="221226"/>
          <a:ext cx="920928" cy="376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F3D8EA-34C6-424C-ABA8-CF91D4E94888}" type="TxLink">
            <a:rPr lang="en-US" sz="2400" b="1" i="0" u="none" strike="noStrike">
              <a:solidFill>
                <a:schemeClr val="bg1"/>
              </a:solidFill>
              <a:latin typeface="Calibri"/>
              <a:ea typeface="Calibri"/>
              <a:cs typeface="Calibri"/>
            </a:rPr>
            <a:t>68</a:t>
          </a:fld>
          <a:endParaRPr lang="en-IN" sz="1100" b="1">
            <a:solidFill>
              <a:schemeClr val="bg1"/>
            </a:solidFill>
          </a:endParaRPr>
        </a:p>
      </xdr:txBody>
    </xdr:sp>
    <xdr:clientData/>
  </xdr:twoCellAnchor>
  <xdr:twoCellAnchor>
    <xdr:from>
      <xdr:col>22</xdr:col>
      <xdr:colOff>311356</xdr:colOff>
      <xdr:row>3</xdr:row>
      <xdr:rowOff>163871</xdr:rowOff>
    </xdr:from>
    <xdr:to>
      <xdr:col>24</xdr:col>
      <xdr:colOff>499807</xdr:colOff>
      <xdr:row>5</xdr:row>
      <xdr:rowOff>172065</xdr:rowOff>
    </xdr:to>
    <xdr:sp macro="" textlink="">
      <xdr:nvSpPr>
        <xdr:cNvPr id="35" name="TextBox 34">
          <a:extLst>
            <a:ext uri="{FF2B5EF4-FFF2-40B4-BE49-F238E27FC236}">
              <a16:creationId xmlns:a16="http://schemas.microsoft.com/office/drawing/2014/main" id="{F58D2505-92B0-5B12-1ABC-76E779864753}"/>
            </a:ext>
          </a:extLst>
        </xdr:cNvPr>
        <xdr:cNvSpPr txBox="1"/>
      </xdr:nvSpPr>
      <xdr:spPr>
        <a:xfrm>
          <a:off x="13650453" y="704645"/>
          <a:ext cx="1401096"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solidFill>
            </a:rPr>
            <a:t>Top Custome</a:t>
          </a:r>
          <a:r>
            <a:rPr lang="en-IN" sz="1400" b="1">
              <a:solidFill>
                <a:schemeClr val="accent2"/>
              </a:solidFill>
            </a:rPr>
            <a:t>r</a:t>
          </a:r>
        </a:p>
        <a:p>
          <a:endParaRPr lang="en-IN" sz="1400" b="1" baseline="0">
            <a:solidFill>
              <a:schemeClr val="accent2"/>
            </a:solidFill>
          </a:endParaRPr>
        </a:p>
        <a:p>
          <a:endParaRPr lang="en-IN" sz="1100"/>
        </a:p>
      </xdr:txBody>
    </xdr:sp>
    <xdr:clientData/>
  </xdr:twoCellAnchor>
  <xdr:twoCellAnchor>
    <xdr:from>
      <xdr:col>22</xdr:col>
      <xdr:colOff>253999</xdr:colOff>
      <xdr:row>1</xdr:row>
      <xdr:rowOff>155677</xdr:rowOff>
    </xdr:from>
    <xdr:to>
      <xdr:col>24</xdr:col>
      <xdr:colOff>409677</xdr:colOff>
      <xdr:row>3</xdr:row>
      <xdr:rowOff>114710</xdr:rowOff>
    </xdr:to>
    <xdr:sp macro="" textlink="#REF!">
      <xdr:nvSpPr>
        <xdr:cNvPr id="36" name="TextBox 35">
          <a:extLst>
            <a:ext uri="{FF2B5EF4-FFF2-40B4-BE49-F238E27FC236}">
              <a16:creationId xmlns:a16="http://schemas.microsoft.com/office/drawing/2014/main" id="{74D94EE2-0A24-E598-0799-699B63276946}"/>
            </a:ext>
          </a:extLst>
        </xdr:cNvPr>
        <xdr:cNvSpPr txBox="1"/>
      </xdr:nvSpPr>
      <xdr:spPr>
        <a:xfrm>
          <a:off x="13593096" y="335935"/>
          <a:ext cx="1368323" cy="31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Calibri"/>
              <a:ea typeface="Calibri"/>
              <a:cs typeface="Calibri"/>
            </a:rPr>
            <a:t>Mark</a:t>
          </a:r>
          <a:r>
            <a:rPr lang="en-US" sz="1800" b="1" i="0" u="none" strike="noStrike" baseline="0">
              <a:solidFill>
                <a:schemeClr val="bg1"/>
              </a:solidFill>
              <a:latin typeface="Calibri"/>
              <a:ea typeface="Calibri"/>
              <a:cs typeface="Calibri"/>
            </a:rPr>
            <a:t> Carter</a:t>
          </a:r>
          <a:endParaRPr lang="en-US" sz="1800" b="1" i="0" u="none" strike="noStrike">
            <a:solidFill>
              <a:schemeClr val="bg1"/>
            </a:solidFill>
            <a:latin typeface="Calibri"/>
            <a:ea typeface="Calibri"/>
            <a:cs typeface="Calibri"/>
          </a:endParaRPr>
        </a:p>
        <a:p>
          <a:pPr algn="ctr"/>
          <a:endParaRPr lang="en-IN" sz="1000" b="1">
            <a:solidFill>
              <a:schemeClr val="bg1"/>
            </a:solidFill>
          </a:endParaRPr>
        </a:p>
      </xdr:txBody>
    </xdr:sp>
    <xdr:clientData/>
  </xdr:twoCellAnchor>
  <xdr:twoCellAnchor>
    <xdr:from>
      <xdr:col>17</xdr:col>
      <xdr:colOff>401485</xdr:colOff>
      <xdr:row>14</xdr:row>
      <xdr:rowOff>40968</xdr:rowOff>
    </xdr:from>
    <xdr:to>
      <xdr:col>21</xdr:col>
      <xdr:colOff>65549</xdr:colOff>
      <xdr:row>15</xdr:row>
      <xdr:rowOff>122903</xdr:rowOff>
    </xdr:to>
    <xdr:sp macro="" textlink="">
      <xdr:nvSpPr>
        <xdr:cNvPr id="37" name="TextBox 36">
          <a:extLst>
            <a:ext uri="{FF2B5EF4-FFF2-40B4-BE49-F238E27FC236}">
              <a16:creationId xmlns:a16="http://schemas.microsoft.com/office/drawing/2014/main" id="{61E1F191-06FA-204C-12F5-988A961D6108}"/>
            </a:ext>
          </a:extLst>
        </xdr:cNvPr>
        <xdr:cNvSpPr txBox="1"/>
      </xdr:nvSpPr>
      <xdr:spPr>
        <a:xfrm>
          <a:off x="10708969" y="2564581"/>
          <a:ext cx="2089354" cy="262193"/>
        </a:xfrm>
        <a:prstGeom prst="roundRect">
          <a:avLst/>
        </a:prstGeom>
        <a:solidFill>
          <a:schemeClr val="accent2"/>
        </a:solidFill>
        <a:ln w="9525" cmpd="sng">
          <a:solidFill>
            <a:schemeClr val="accent1"/>
          </a:solid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bg1"/>
              </a:solidFill>
              <a:effectLst/>
              <a:latin typeface="+mn-lt"/>
              <a:ea typeface="+mn-ea"/>
              <a:cs typeface="+mn-cs"/>
            </a:rPr>
            <a:t>Sum  of Total amount of Product</a:t>
          </a:r>
          <a:endParaRPr lang="en-IN" b="1">
            <a:solidFill>
              <a:schemeClr val="bg1"/>
            </a:solidFill>
            <a:effectLst/>
          </a:endParaRPr>
        </a:p>
        <a:p>
          <a:endParaRPr lang="en-IN" sz="1100"/>
        </a:p>
      </xdr:txBody>
    </xdr:sp>
    <xdr:clientData/>
  </xdr:twoCellAnchor>
  <xdr:twoCellAnchor>
    <xdr:from>
      <xdr:col>9</xdr:col>
      <xdr:colOff>209756</xdr:colOff>
      <xdr:row>14</xdr:row>
      <xdr:rowOff>95045</xdr:rowOff>
    </xdr:from>
    <xdr:to>
      <xdr:col>11</xdr:col>
      <xdr:colOff>557163</xdr:colOff>
      <xdr:row>15</xdr:row>
      <xdr:rowOff>172064</xdr:rowOff>
    </xdr:to>
    <xdr:sp macro="" textlink="">
      <xdr:nvSpPr>
        <xdr:cNvPr id="38" name="TextBox 37">
          <a:extLst>
            <a:ext uri="{FF2B5EF4-FFF2-40B4-BE49-F238E27FC236}">
              <a16:creationId xmlns:a16="http://schemas.microsoft.com/office/drawing/2014/main" id="{C7C95096-1B4B-4303-997C-A65114F2B12C}"/>
            </a:ext>
          </a:extLst>
        </xdr:cNvPr>
        <xdr:cNvSpPr txBox="1"/>
      </xdr:nvSpPr>
      <xdr:spPr>
        <a:xfrm>
          <a:off x="5666659" y="2618658"/>
          <a:ext cx="1560052" cy="257277"/>
        </a:xfrm>
        <a:prstGeom prst="roundRect">
          <a:avLst/>
        </a:prstGeom>
        <a:solidFill>
          <a:schemeClr val="accent2"/>
        </a:solidFill>
        <a:ln w="9525" cmpd="sng">
          <a:solidFill>
            <a:schemeClr val="accent1"/>
          </a:solidFill>
        </a:ln>
        <a:effectLst>
          <a:glow rad="63500">
            <a:schemeClr val="accent2">
              <a:satMod val="175000"/>
              <a:alpha val="40000"/>
            </a:schemeClr>
          </a:glo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100" b="1" i="0" baseline="0">
              <a:solidFill>
                <a:schemeClr val="bg1"/>
              </a:solidFill>
              <a:effectLst/>
              <a:latin typeface="+mn-lt"/>
              <a:ea typeface="+mn-ea"/>
              <a:cs typeface="+mn-cs"/>
            </a:rPr>
            <a:t>Sales over Month-Year</a:t>
          </a:r>
          <a:endParaRPr lang="en-IN" b="1">
            <a:solidFill>
              <a:schemeClr val="bg1"/>
            </a:solidFill>
            <a:effectLst/>
          </a:endParaRPr>
        </a:p>
        <a:p>
          <a:endParaRPr lang="en-IN" sz="1100"/>
        </a:p>
      </xdr:txBody>
    </xdr:sp>
    <xdr:clientData/>
  </xdr:twoCellAnchor>
  <xdr:twoCellAnchor>
    <xdr:from>
      <xdr:col>3</xdr:col>
      <xdr:colOff>524386</xdr:colOff>
      <xdr:row>9</xdr:row>
      <xdr:rowOff>1</xdr:rowOff>
    </xdr:from>
    <xdr:to>
      <xdr:col>6</xdr:col>
      <xdr:colOff>180258</xdr:colOff>
      <xdr:row>10</xdr:row>
      <xdr:rowOff>73743</xdr:rowOff>
    </xdr:to>
    <xdr:sp macro="" textlink="">
      <xdr:nvSpPr>
        <xdr:cNvPr id="39" name="TextBox 38">
          <a:extLst>
            <a:ext uri="{FF2B5EF4-FFF2-40B4-BE49-F238E27FC236}">
              <a16:creationId xmlns:a16="http://schemas.microsoft.com/office/drawing/2014/main" id="{0739C89B-0878-CB44-399B-EB882F327A15}"/>
            </a:ext>
          </a:extLst>
        </xdr:cNvPr>
        <xdr:cNvSpPr txBox="1"/>
      </xdr:nvSpPr>
      <xdr:spPr>
        <a:xfrm>
          <a:off x="2343354" y="1622324"/>
          <a:ext cx="1474839" cy="254000"/>
        </a:xfrm>
        <a:prstGeom prst="roundRect">
          <a:avLst/>
        </a:prstGeom>
        <a:solidFill>
          <a:schemeClr val="accent2"/>
        </a:solidFill>
        <a:ln w="9525" cmpd="sng">
          <a:no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bg1"/>
              </a:solidFill>
              <a:effectLst/>
              <a:latin typeface="+mn-lt"/>
              <a:ea typeface="+mn-ea"/>
              <a:cs typeface="+mn-cs"/>
            </a:rPr>
            <a:t>Revenue by Region</a:t>
          </a:r>
          <a:endParaRPr lang="en-IN" b="1">
            <a:solidFill>
              <a:schemeClr val="bg1"/>
            </a:solidFill>
            <a:effectLst/>
          </a:endParaRPr>
        </a:p>
        <a:p>
          <a:endParaRPr lang="en-IN" sz="1100"/>
        </a:p>
      </xdr:txBody>
    </xdr:sp>
    <xdr:clientData/>
  </xdr:twoCellAnchor>
  <xdr:twoCellAnchor>
    <xdr:from>
      <xdr:col>9</xdr:col>
      <xdr:colOff>180258</xdr:colOff>
      <xdr:row>0</xdr:row>
      <xdr:rowOff>139291</xdr:rowOff>
    </xdr:from>
    <xdr:to>
      <xdr:col>11</xdr:col>
      <xdr:colOff>532581</xdr:colOff>
      <xdr:row>2</xdr:row>
      <xdr:rowOff>32775</xdr:rowOff>
    </xdr:to>
    <xdr:sp macro="" textlink="">
      <xdr:nvSpPr>
        <xdr:cNvPr id="40" name="TextBox 39">
          <a:extLst>
            <a:ext uri="{FF2B5EF4-FFF2-40B4-BE49-F238E27FC236}">
              <a16:creationId xmlns:a16="http://schemas.microsoft.com/office/drawing/2014/main" id="{018B9CD3-88B6-36F4-5632-8B7F42C38E39}"/>
            </a:ext>
          </a:extLst>
        </xdr:cNvPr>
        <xdr:cNvSpPr txBox="1"/>
      </xdr:nvSpPr>
      <xdr:spPr>
        <a:xfrm>
          <a:off x="5637161" y="139291"/>
          <a:ext cx="1564968" cy="254000"/>
        </a:xfrm>
        <a:prstGeom prst="roundRect">
          <a:avLst/>
        </a:prstGeom>
        <a:solidFill>
          <a:schemeClr val="accent2"/>
        </a:solidFill>
        <a:ln w="9525" cmpd="sng">
          <a:solidFill>
            <a:schemeClr val="lt1">
              <a:shade val="50000"/>
            </a:schemeClr>
          </a:solidFill>
        </a:ln>
        <a:effectLst>
          <a:glow rad="63500">
            <a:schemeClr val="accent2">
              <a:satMod val="175000"/>
              <a:alpha val="40000"/>
            </a:schemeClr>
          </a:glo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bg1"/>
              </a:solidFill>
              <a:effectLst/>
              <a:latin typeface="+mn-lt"/>
              <a:ea typeface="+mn-ea"/>
              <a:cs typeface="+mn-cs"/>
            </a:rPr>
            <a:t>Category Contribution</a:t>
          </a:r>
          <a:endParaRPr lang="en-IN" b="1">
            <a:solidFill>
              <a:schemeClr val="bg1"/>
            </a:solidFill>
            <a:effectLst/>
          </a:endParaRPr>
        </a:p>
        <a:p>
          <a:endParaRPr lang="en-IN" sz="1100"/>
        </a:p>
      </xdr:txBody>
    </xdr:sp>
    <xdr:clientData/>
  </xdr:twoCellAnchor>
  <xdr:twoCellAnchor>
    <xdr:from>
      <xdr:col>14</xdr:col>
      <xdr:colOff>335936</xdr:colOff>
      <xdr:row>0</xdr:row>
      <xdr:rowOff>163871</xdr:rowOff>
    </xdr:from>
    <xdr:to>
      <xdr:col>16</xdr:col>
      <xdr:colOff>589936</xdr:colOff>
      <xdr:row>2</xdr:row>
      <xdr:rowOff>40968</xdr:rowOff>
    </xdr:to>
    <xdr:sp macro="" textlink="">
      <xdr:nvSpPr>
        <xdr:cNvPr id="41" name="TextBox 40">
          <a:extLst>
            <a:ext uri="{FF2B5EF4-FFF2-40B4-BE49-F238E27FC236}">
              <a16:creationId xmlns:a16="http://schemas.microsoft.com/office/drawing/2014/main" id="{C0D732A9-24D4-2B3C-1130-7CB2A0E5A83D}"/>
            </a:ext>
          </a:extLst>
        </xdr:cNvPr>
        <xdr:cNvSpPr txBox="1"/>
      </xdr:nvSpPr>
      <xdr:spPr>
        <a:xfrm>
          <a:off x="8824452" y="163871"/>
          <a:ext cx="1466645" cy="237613"/>
        </a:xfrm>
        <a:prstGeom prst="roundRect">
          <a:avLst/>
        </a:prstGeom>
        <a:solidFill>
          <a:schemeClr val="accent2"/>
        </a:solidFill>
        <a:ln w="9525" cmpd="sng">
          <a:solidFill>
            <a:schemeClr val="accent1"/>
          </a:solid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bg1"/>
              </a:solidFill>
              <a:effectLst/>
              <a:latin typeface="+mn-lt"/>
              <a:ea typeface="+mn-ea"/>
              <a:cs typeface="+mn-cs"/>
            </a:rPr>
            <a:t>Revenue by Segment</a:t>
          </a:r>
          <a:endParaRPr lang="en-IN" b="1">
            <a:solidFill>
              <a:schemeClr val="bg1"/>
            </a:solidFill>
            <a:effectLst/>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2</xdr:row>
      <xdr:rowOff>3810</xdr:rowOff>
    </xdr:from>
    <xdr:to>
      <xdr:col>10</xdr:col>
      <xdr:colOff>320040</xdr:colOff>
      <xdr:row>17</xdr:row>
      <xdr:rowOff>3810</xdr:rowOff>
    </xdr:to>
    <xdr:graphicFrame macro="">
      <xdr:nvGraphicFramePr>
        <xdr:cNvPr id="2" name="Chart 1">
          <a:extLst>
            <a:ext uri="{FF2B5EF4-FFF2-40B4-BE49-F238E27FC236}">
              <a16:creationId xmlns:a16="http://schemas.microsoft.com/office/drawing/2014/main" id="{1ED179D5-CDBD-8756-A982-5B1470086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472440</xdr:colOff>
      <xdr:row>9</xdr:row>
      <xdr:rowOff>175261</xdr:rowOff>
    </xdr:from>
    <xdr:to>
      <xdr:col>16</xdr:col>
      <xdr:colOff>472440</xdr:colOff>
      <xdr:row>16</xdr:row>
      <xdr:rowOff>83821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D9D8652-B51C-3011-A753-6002D4C695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395460" y="182118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0</xdr:row>
      <xdr:rowOff>60961</xdr:rowOff>
    </xdr:from>
    <xdr:to>
      <xdr:col>16</xdr:col>
      <xdr:colOff>525780</xdr:colOff>
      <xdr:row>9</xdr:row>
      <xdr:rowOff>91441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77205DA-957B-70EE-B03B-4E55F64A17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48800" y="6096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579120</xdr:colOff>
      <xdr:row>5</xdr:row>
      <xdr:rowOff>53340</xdr:rowOff>
    </xdr:from>
    <xdr:to>
      <xdr:col>19</xdr:col>
      <xdr:colOff>579120</xdr:colOff>
      <xdr:row>18</xdr:row>
      <xdr:rowOff>142875</xdr:rowOff>
    </xdr:to>
    <mc:AlternateContent xmlns:mc="http://schemas.openxmlformats.org/markup-compatibility/2006">
      <mc:Choice xmlns:a14="http://schemas.microsoft.com/office/drawing/2010/main" Requires="a14">
        <xdr:graphicFrame macro="">
          <xdr:nvGraphicFramePr>
            <xdr:cNvPr id="5" name="Months (Date)">
              <a:extLst>
                <a:ext uri="{FF2B5EF4-FFF2-40B4-BE49-F238E27FC236}">
                  <a16:creationId xmlns:a16="http://schemas.microsoft.com/office/drawing/2014/main" id="{C2C4F477-4608-D16F-FCFB-CB31493F99B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1330940" y="96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563880</xdr:colOff>
      <xdr:row>0</xdr:row>
      <xdr:rowOff>1</xdr:rowOff>
    </xdr:from>
    <xdr:to>
      <xdr:col>19</xdr:col>
      <xdr:colOff>563880</xdr:colOff>
      <xdr:row>4</xdr:row>
      <xdr:rowOff>137161</xdr:rowOff>
    </xdr:to>
    <mc:AlternateContent xmlns:mc="http://schemas.openxmlformats.org/markup-compatibility/2006">
      <mc:Choice xmlns:a14="http://schemas.microsoft.com/office/drawing/2010/main" Requires="a14">
        <xdr:graphicFrame macro="">
          <xdr:nvGraphicFramePr>
            <xdr:cNvPr id="6" name="Years (Date)">
              <a:extLst>
                <a:ext uri="{FF2B5EF4-FFF2-40B4-BE49-F238E27FC236}">
                  <a16:creationId xmlns:a16="http://schemas.microsoft.com/office/drawing/2014/main" id="{9C684A92-68FD-E151-CAA4-26EE8F4E454B}"/>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1315700" y="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1</xdr:row>
      <xdr:rowOff>179070</xdr:rowOff>
    </xdr:from>
    <xdr:to>
      <xdr:col>10</xdr:col>
      <xdr:colOff>259080</xdr:colOff>
      <xdr:row>16</xdr:row>
      <xdr:rowOff>179070</xdr:rowOff>
    </xdr:to>
    <xdr:graphicFrame macro="">
      <xdr:nvGraphicFramePr>
        <xdr:cNvPr id="2" name="Chart 1">
          <a:extLst>
            <a:ext uri="{FF2B5EF4-FFF2-40B4-BE49-F238E27FC236}">
              <a16:creationId xmlns:a16="http://schemas.microsoft.com/office/drawing/2014/main" id="{4CA7BACE-FEFA-9E24-8218-FD5C46610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xdr:colOff>
      <xdr:row>2</xdr:row>
      <xdr:rowOff>26670</xdr:rowOff>
    </xdr:from>
    <xdr:to>
      <xdr:col>10</xdr:col>
      <xdr:colOff>358140</xdr:colOff>
      <xdr:row>17</xdr:row>
      <xdr:rowOff>26670</xdr:rowOff>
    </xdr:to>
    <xdr:graphicFrame macro="">
      <xdr:nvGraphicFramePr>
        <xdr:cNvPr id="2" name="Chart 1">
          <a:extLst>
            <a:ext uri="{FF2B5EF4-FFF2-40B4-BE49-F238E27FC236}">
              <a16:creationId xmlns:a16="http://schemas.microsoft.com/office/drawing/2014/main" id="{ADE75B71-A795-C5A2-0A09-1CA907584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579120</xdr:colOff>
      <xdr:row>1</xdr:row>
      <xdr:rowOff>171450</xdr:rowOff>
    </xdr:from>
    <xdr:to>
      <xdr:col>10</xdr:col>
      <xdr:colOff>274320</xdr:colOff>
      <xdr:row>16</xdr:row>
      <xdr:rowOff>171450</xdr:rowOff>
    </xdr:to>
    <xdr:graphicFrame macro="">
      <xdr:nvGraphicFramePr>
        <xdr:cNvPr id="2" name="Chart 1">
          <a:extLst>
            <a:ext uri="{FF2B5EF4-FFF2-40B4-BE49-F238E27FC236}">
              <a16:creationId xmlns:a16="http://schemas.microsoft.com/office/drawing/2014/main" id="{B1EF869F-50F1-5522-30A2-A4DBD5DF3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297180</xdr:colOff>
      <xdr:row>6</xdr:row>
      <xdr:rowOff>41910</xdr:rowOff>
    </xdr:from>
    <xdr:to>
      <xdr:col>11</xdr:col>
      <xdr:colOff>205740</xdr:colOff>
      <xdr:row>21</xdr:row>
      <xdr:rowOff>41910</xdr:rowOff>
    </xdr:to>
    <xdr:graphicFrame macro="">
      <xdr:nvGraphicFramePr>
        <xdr:cNvPr id="2" name="Chart 1">
          <a:extLst>
            <a:ext uri="{FF2B5EF4-FFF2-40B4-BE49-F238E27FC236}">
              <a16:creationId xmlns:a16="http://schemas.microsoft.com/office/drawing/2014/main" id="{AB166454-0DE4-12FF-221B-2233098F1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107.027931597222" createdVersion="8" refreshedVersion="8" minRefreshableVersion="3" recordCount="250" xr:uid="{55CE9ED7-B971-49C9-94BC-0DBCB8A5B21A}">
  <cacheSource type="worksheet">
    <worksheetSource ref="A1:P251" sheet="Final Project Dataset"/>
  </cacheSource>
  <cacheFields count="19">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8"/>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unt="10">
        <s v="P009"/>
        <s v="P005"/>
        <s v="P008"/>
        <s v="P003"/>
        <s v="P001"/>
        <s v="P002"/>
        <s v="P007"/>
        <s v="P004"/>
        <s v="P010"/>
        <s v="P006"/>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Different" numFmtId="0">
      <sharedItems containsSemiMixedTypes="0" containsDate="1" containsString="0" containsMixedTypes="1" minDate="1899-12-31T00:00:00" maxDate="1899-12-31T00:09:04"/>
    </cacheField>
    <cacheField name="Time Stamp" numFmtId="22">
      <sharedItems containsSemiMixedTypes="0" containsNonDate="0" containsDate="1" containsString="0" minDate="2026-03-24T22:33:56" maxDate="2026-03-24T22:34:59"/>
    </cacheField>
    <cacheField name="Months (Date)" numFmtId="0" databaseField="0">
      <fieldGroup base="1">
        <rangePr groupBy="months" startDate="2024-04-11T00:00:00" endDate="2025-04-12T00:00:00"/>
        <groupItems count="14">
          <s v="&lt;11-04-24"/>
          <s v="Jan"/>
          <s v="Feb"/>
          <s v="Mar"/>
          <s v="Apr"/>
          <s v="May"/>
          <s v="Jun"/>
          <s v="Jul"/>
          <s v="Aug"/>
          <s v="Sep"/>
          <s v="Oct"/>
          <s v="Nov"/>
          <s v="Dec"/>
          <s v="&gt;12-04-25"/>
        </groupItems>
      </fieldGroup>
    </cacheField>
    <cacheField name="Quarters (Date)" numFmtId="0" databaseField="0">
      <fieldGroup base="1">
        <rangePr groupBy="quarters" startDate="2024-04-11T00:00:00" endDate="2025-04-12T00:00:00"/>
        <groupItems count="6">
          <s v="&lt;11-04-24"/>
          <s v="Qtr1"/>
          <s v="Qtr2"/>
          <s v="Qtr3"/>
          <s v="Qtr4"/>
          <s v="&gt;12-04-25"/>
        </groupItems>
      </fieldGroup>
    </cacheField>
    <cacheField name="Years (Date)" numFmtId="0" databaseField="0">
      <fieldGroup base="1">
        <rangePr groupBy="years" startDate="2024-04-11T00:00:00" endDate="2025-04-12T00:00:00"/>
        <groupItems count="4">
          <s v="&lt;11-04-24"/>
          <s v="2024"/>
          <s v="2025"/>
          <s v="&gt;12-04-25"/>
        </groupItems>
      </fieldGroup>
    </cacheField>
  </cacheFields>
  <extLst>
    <ext xmlns:x14="http://schemas.microsoft.com/office/spreadsheetml/2009/9/main" uri="{725AE2AE-9491-48be-B2B4-4EB974FC3084}">
      <x14:pivotCacheDefinition pivotCacheId="8788025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107.594812268515" createdVersion="8" refreshedVersion="8" minRefreshableVersion="3" recordCount="250" xr:uid="{A7BEB2FB-2991-429B-B652-7285D2369CEC}">
  <cacheSource type="worksheet">
    <worksheetSource ref="B1:P251" sheet="Final Project Dataset"/>
  </cacheSource>
  <cacheFields count="15">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Different" numFmtId="0">
      <sharedItems containsSemiMixedTypes="0" containsDate="1" containsString="0" containsMixedTypes="1" minDate="1899-12-31T00:00:00" maxDate="1899-12-31T00:09:04"/>
    </cacheField>
    <cacheField name="Time Stamp" numFmtId="22">
      <sharedItems containsSemiMixedTypes="0" containsNonDate="0" containsDate="1" containsString="0" minDate="2026-03-24T22:33:56" maxDate="2026-03-24T22:34: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x v="0"/>
    <x v="0"/>
    <x v="0"/>
    <n v="3"/>
    <n v="249.99"/>
    <x v="0"/>
    <x v="0"/>
    <x v="0"/>
    <d v="2021-08-17T00:00:00"/>
    <n v="749.97"/>
    <d v="1900-01-01T00:00:00"/>
    <d v="2026-03-24T22:33:56"/>
  </r>
  <r>
    <s v="TRX0023"/>
    <x v="1"/>
    <s v="CUST013"/>
    <x v="1"/>
    <x v="0"/>
    <x v="0"/>
    <x v="0"/>
    <n v="3"/>
    <n v="249.99"/>
    <x v="1"/>
    <x v="0"/>
    <x v="1"/>
    <d v="2022-01-14T00:00:00"/>
    <n v="749.97"/>
    <n v="2"/>
    <d v="2026-03-24T22:33:56"/>
  </r>
  <r>
    <s v="TRX0139"/>
    <x v="2"/>
    <s v="CUST021"/>
    <x v="2"/>
    <x v="1"/>
    <x v="1"/>
    <x v="1"/>
    <n v="3"/>
    <n v="59.99"/>
    <x v="2"/>
    <x v="1"/>
    <x v="2"/>
    <d v="2023-12-02T00:00:00"/>
    <n v="179.97"/>
    <n v="0"/>
    <d v="2026-03-24T22:33:56"/>
  </r>
  <r>
    <s v="TRX0043"/>
    <x v="3"/>
    <s v="CUST046"/>
    <x v="3"/>
    <x v="1"/>
    <x v="1"/>
    <x v="1"/>
    <n v="3"/>
    <n v="59.99"/>
    <x v="0"/>
    <x v="2"/>
    <x v="1"/>
    <d v="2023-07-07T00:00:00"/>
    <n v="179.97"/>
    <n v="0"/>
    <d v="2026-03-24T22:33:56"/>
  </r>
  <r>
    <s v="TRX0212"/>
    <x v="3"/>
    <s v="CUST003"/>
    <x v="4"/>
    <x v="2"/>
    <x v="2"/>
    <x v="2"/>
    <n v="5"/>
    <n v="149.99"/>
    <x v="1"/>
    <x v="2"/>
    <x v="1"/>
    <d v="2024-01-04T00:00:00"/>
    <n v="749.95"/>
    <n v="0"/>
    <d v="2026-03-24T22:33:56"/>
  </r>
  <r>
    <s v="TRX0092"/>
    <x v="4"/>
    <s v="CUST024"/>
    <x v="5"/>
    <x v="1"/>
    <x v="1"/>
    <x v="1"/>
    <n v="2"/>
    <n v="59.99"/>
    <x v="0"/>
    <x v="3"/>
    <x v="2"/>
    <d v="2022-07-04T00:00:00"/>
    <n v="119.98"/>
    <n v="1"/>
    <d v="2026-03-24T22:33:56"/>
  </r>
  <r>
    <s v="TRX0193"/>
    <x v="4"/>
    <s v="CUST024"/>
    <x v="5"/>
    <x v="3"/>
    <x v="3"/>
    <x v="0"/>
    <n v="5"/>
    <n v="149.99"/>
    <x v="1"/>
    <x v="0"/>
    <x v="2"/>
    <d v="2021-08-10T00:00:00"/>
    <n v="749.95"/>
    <n v="2"/>
    <d v="2026-03-24T22:33:56"/>
  </r>
  <r>
    <s v="TRX0240"/>
    <x v="4"/>
    <s v="CUST017"/>
    <x v="6"/>
    <x v="1"/>
    <x v="1"/>
    <x v="1"/>
    <n v="3"/>
    <n v="59.99"/>
    <x v="3"/>
    <x v="1"/>
    <x v="0"/>
    <d v="2023-03-22T00:00:00"/>
    <n v="179.97"/>
    <n v="1"/>
    <d v="2026-03-24T22:33:56"/>
  </r>
  <r>
    <s v="TRX0135"/>
    <x v="5"/>
    <s v="CUST009"/>
    <x v="7"/>
    <x v="4"/>
    <x v="4"/>
    <x v="0"/>
    <n v="3"/>
    <n v="899.99"/>
    <x v="2"/>
    <x v="4"/>
    <x v="2"/>
    <d v="2024-01-08T00:00:00"/>
    <n v="2699.97"/>
    <n v="0"/>
    <d v="2026-03-24T22:33:56"/>
  </r>
  <r>
    <s v="TRX0185"/>
    <x v="6"/>
    <s v="CUST026"/>
    <x v="8"/>
    <x v="1"/>
    <x v="1"/>
    <x v="1"/>
    <n v="3"/>
    <n v="59.99"/>
    <x v="0"/>
    <x v="3"/>
    <x v="1"/>
    <d v="2023-10-08T00:00:00"/>
    <n v="179.97"/>
    <n v="0"/>
    <d v="2026-03-24T22:33:56"/>
  </r>
  <r>
    <s v="TRX0138"/>
    <x v="6"/>
    <s v="CUST022"/>
    <x v="9"/>
    <x v="2"/>
    <x v="2"/>
    <x v="2"/>
    <n v="1"/>
    <n v="149.99"/>
    <x v="1"/>
    <x v="3"/>
    <x v="2"/>
    <d v="2023-06-26T00:00:00"/>
    <n v="149.99"/>
    <n v="0"/>
    <d v="2026-03-24T22:33:56"/>
  </r>
  <r>
    <s v="TRX0209"/>
    <x v="6"/>
    <s v="CUST046"/>
    <x v="3"/>
    <x v="2"/>
    <x v="2"/>
    <x v="2"/>
    <n v="5"/>
    <n v="149.99"/>
    <x v="3"/>
    <x v="2"/>
    <x v="0"/>
    <d v="2022-09-26T00:00:00"/>
    <n v="749.95"/>
    <n v="1"/>
    <d v="2026-03-24T22:33:56"/>
  </r>
  <r>
    <s v="TRX0246"/>
    <x v="6"/>
    <s v="CUST041"/>
    <x v="10"/>
    <x v="2"/>
    <x v="2"/>
    <x v="2"/>
    <n v="3"/>
    <n v="149.99"/>
    <x v="0"/>
    <x v="2"/>
    <x v="1"/>
    <d v="2022-09-02T00:00:00"/>
    <n v="449.97"/>
    <n v="1"/>
    <d v="2026-03-24T22:33:56"/>
  </r>
  <r>
    <s v="TRX0067"/>
    <x v="7"/>
    <s v="CUST043"/>
    <x v="11"/>
    <x v="1"/>
    <x v="1"/>
    <x v="1"/>
    <n v="3"/>
    <n v="59.99"/>
    <x v="1"/>
    <x v="2"/>
    <x v="2"/>
    <d v="2024-02-29T00:00:00"/>
    <n v="179.97"/>
    <n v="0"/>
    <d v="2026-03-24T22:33:56"/>
  </r>
  <r>
    <s v="TRX0191"/>
    <x v="7"/>
    <s v="CUST038"/>
    <x v="12"/>
    <x v="5"/>
    <x v="5"/>
    <x v="0"/>
    <n v="3"/>
    <n v="699.99"/>
    <x v="1"/>
    <x v="3"/>
    <x v="0"/>
    <d v="2022-01-16T00:00:00"/>
    <n v="2099.9699999999998"/>
    <n v="2"/>
    <d v="2026-03-24T22:33:56"/>
  </r>
  <r>
    <s v="TRX0230"/>
    <x v="7"/>
    <s v="CUST027"/>
    <x v="13"/>
    <x v="4"/>
    <x v="4"/>
    <x v="0"/>
    <n v="1"/>
    <n v="899.99"/>
    <x v="3"/>
    <x v="2"/>
    <x v="2"/>
    <d v="2022-12-25T00:00:00"/>
    <n v="899.99"/>
    <n v="1"/>
    <d v="2026-03-24T22:33:56"/>
  </r>
  <r>
    <s v="TRX0049"/>
    <x v="8"/>
    <s v="CUST025"/>
    <x v="14"/>
    <x v="2"/>
    <x v="2"/>
    <x v="2"/>
    <n v="4"/>
    <n v="149.99"/>
    <x v="3"/>
    <x v="2"/>
    <x v="1"/>
    <d v="2024-03-23T00:00:00"/>
    <n v="599.96"/>
    <n v="0"/>
    <d v="2026-03-24T22:33:56"/>
  </r>
  <r>
    <s v="TRX0134"/>
    <x v="8"/>
    <s v="CUST010"/>
    <x v="15"/>
    <x v="5"/>
    <x v="5"/>
    <x v="0"/>
    <n v="2"/>
    <n v="699.99"/>
    <x v="0"/>
    <x v="2"/>
    <x v="0"/>
    <d v="2022-08-08T00:00:00"/>
    <n v="1399.98"/>
    <n v="1"/>
    <d v="2026-03-24T22:33:56"/>
  </r>
  <r>
    <s v="TRX0122"/>
    <x v="8"/>
    <s v="CUST025"/>
    <x v="14"/>
    <x v="4"/>
    <x v="4"/>
    <x v="0"/>
    <n v="4"/>
    <n v="899.99"/>
    <x v="1"/>
    <x v="3"/>
    <x v="2"/>
    <d v="2024-02-05T00:00:00"/>
    <n v="3599.96"/>
    <n v="0"/>
    <d v="2026-03-24T22:33:56"/>
  </r>
  <r>
    <s v="TRX0222"/>
    <x v="8"/>
    <s v="CUST048"/>
    <x v="16"/>
    <x v="0"/>
    <x v="0"/>
    <x v="0"/>
    <n v="3"/>
    <n v="249.99"/>
    <x v="1"/>
    <x v="2"/>
    <x v="1"/>
    <d v="2023-10-25T00:00:00"/>
    <n v="749.97"/>
    <n v="0"/>
    <d v="2026-03-24T22:33:56"/>
  </r>
  <r>
    <s v="TRX0231"/>
    <x v="9"/>
    <s v="CUST018"/>
    <x v="17"/>
    <x v="5"/>
    <x v="5"/>
    <x v="0"/>
    <n v="5"/>
    <n v="699.99"/>
    <x v="0"/>
    <x v="3"/>
    <x v="0"/>
    <d v="2023-08-29T00:00:00"/>
    <n v="3499.95"/>
    <n v="0"/>
    <d v="2026-03-24T22:33:56"/>
  </r>
  <r>
    <s v="TRX0239"/>
    <x v="10"/>
    <s v="CUST012"/>
    <x v="18"/>
    <x v="5"/>
    <x v="5"/>
    <x v="0"/>
    <n v="4"/>
    <n v="699.99"/>
    <x v="0"/>
    <x v="4"/>
    <x v="2"/>
    <d v="2021-08-01T00:00:00"/>
    <n v="2799.96"/>
    <n v="2"/>
    <d v="2026-03-24T22:33:56"/>
  </r>
  <r>
    <s v="TRX0204"/>
    <x v="11"/>
    <s v="CUST044"/>
    <x v="19"/>
    <x v="0"/>
    <x v="0"/>
    <x v="0"/>
    <n v="4"/>
    <n v="249.99"/>
    <x v="2"/>
    <x v="2"/>
    <x v="2"/>
    <d v="2021-09-29T00:00:00"/>
    <n v="999.96"/>
    <n v="2"/>
    <d v="2026-03-24T22:33:56"/>
  </r>
  <r>
    <s v="TRX0242"/>
    <x v="12"/>
    <s v="CUST025"/>
    <x v="14"/>
    <x v="6"/>
    <x v="6"/>
    <x v="2"/>
    <n v="4"/>
    <n v="299.99"/>
    <x v="0"/>
    <x v="3"/>
    <x v="1"/>
    <d v="2022-06-04T00:00:00"/>
    <n v="1199.96"/>
    <n v="1"/>
    <d v="2026-03-24T22:33:56"/>
  </r>
  <r>
    <s v="TRX0071"/>
    <x v="13"/>
    <s v="CUST036"/>
    <x v="20"/>
    <x v="0"/>
    <x v="0"/>
    <x v="0"/>
    <n v="5"/>
    <n v="249.99"/>
    <x v="1"/>
    <x v="3"/>
    <x v="2"/>
    <d v="2021-11-25T00:00:00"/>
    <n v="1249.95"/>
    <n v="2"/>
    <d v="2026-03-24T22:33:56"/>
  </r>
  <r>
    <s v="TRX0040"/>
    <x v="14"/>
    <s v="CUST022"/>
    <x v="9"/>
    <x v="6"/>
    <x v="6"/>
    <x v="2"/>
    <n v="5"/>
    <n v="299.99"/>
    <x v="2"/>
    <x v="4"/>
    <x v="0"/>
    <d v="2023-08-30T00:00:00"/>
    <n v="1499.95"/>
    <n v="0"/>
    <d v="2026-03-24T22:33:56"/>
  </r>
  <r>
    <s v="TRX0235"/>
    <x v="14"/>
    <s v="CUST014"/>
    <x v="21"/>
    <x v="7"/>
    <x v="7"/>
    <x v="1"/>
    <n v="3"/>
    <n v="79.989999999999995"/>
    <x v="2"/>
    <x v="4"/>
    <x v="1"/>
    <d v="2023-03-27T00:00:00"/>
    <n v="239.97"/>
    <n v="1"/>
    <d v="2026-03-24T22:33:56"/>
  </r>
  <r>
    <s v="TRX0004"/>
    <x v="14"/>
    <s v="CUST012"/>
    <x v="18"/>
    <x v="8"/>
    <x v="8"/>
    <x v="0"/>
    <n v="5"/>
    <n v="89.99"/>
    <x v="0"/>
    <x v="2"/>
    <x v="1"/>
    <d v="2022-12-24T00:00:00"/>
    <n v="449.95"/>
    <n v="1"/>
    <d v="2026-03-24T22:33:56"/>
  </r>
  <r>
    <s v="TRX0063"/>
    <x v="15"/>
    <s v="CUST030"/>
    <x v="22"/>
    <x v="1"/>
    <x v="1"/>
    <x v="1"/>
    <n v="2"/>
    <n v="59.99"/>
    <x v="3"/>
    <x v="0"/>
    <x v="2"/>
    <d v="2023-10-15T00:00:00"/>
    <n v="119.98"/>
    <n v="0"/>
    <d v="2026-03-24T22:33:56"/>
  </r>
  <r>
    <s v="TRX0241"/>
    <x v="16"/>
    <s v="CUST029"/>
    <x v="23"/>
    <x v="1"/>
    <x v="1"/>
    <x v="1"/>
    <n v="4"/>
    <n v="59.99"/>
    <x v="3"/>
    <x v="4"/>
    <x v="2"/>
    <d v="2022-11-02T00:00:00"/>
    <n v="239.96"/>
    <n v="1"/>
    <d v="2026-03-24T22:33:56"/>
  </r>
  <r>
    <s v="TRX0029"/>
    <x v="16"/>
    <s v="CUST017"/>
    <x v="6"/>
    <x v="9"/>
    <x v="9"/>
    <x v="2"/>
    <n v="5"/>
    <n v="199.99"/>
    <x v="0"/>
    <x v="1"/>
    <x v="2"/>
    <d v="2021-08-04T00:00:00"/>
    <n v="999.95"/>
    <n v="2"/>
    <d v="2026-03-24T22:33:56"/>
  </r>
  <r>
    <s v="TRX0194"/>
    <x v="17"/>
    <s v="CUST006"/>
    <x v="24"/>
    <x v="2"/>
    <x v="2"/>
    <x v="2"/>
    <n v="2"/>
    <n v="149.99"/>
    <x v="1"/>
    <x v="3"/>
    <x v="0"/>
    <d v="2022-09-19T00:00:00"/>
    <n v="299.98"/>
    <n v="1"/>
    <d v="2026-03-24T22:33:56"/>
  </r>
  <r>
    <s v="TRX0130"/>
    <x v="18"/>
    <s v="CUST002"/>
    <x v="25"/>
    <x v="2"/>
    <x v="2"/>
    <x v="2"/>
    <n v="3"/>
    <n v="149.99"/>
    <x v="1"/>
    <x v="3"/>
    <x v="1"/>
    <d v="2023-05-22T00:00:00"/>
    <n v="449.97"/>
    <n v="0"/>
    <d v="2026-03-24T22:33:56"/>
  </r>
  <r>
    <s v="TRX0041"/>
    <x v="19"/>
    <s v="CUST021"/>
    <x v="2"/>
    <x v="4"/>
    <x v="4"/>
    <x v="0"/>
    <n v="1"/>
    <n v="899.99"/>
    <x v="1"/>
    <x v="3"/>
    <x v="1"/>
    <d v="2022-01-17T00:00:00"/>
    <n v="899.99"/>
    <n v="2"/>
    <d v="2026-03-24T22:33:56"/>
  </r>
  <r>
    <s v="TRX0232"/>
    <x v="20"/>
    <s v="CUST012"/>
    <x v="18"/>
    <x v="6"/>
    <x v="6"/>
    <x v="2"/>
    <n v="3"/>
    <n v="299.99"/>
    <x v="1"/>
    <x v="4"/>
    <x v="0"/>
    <d v="2022-09-20T00:00:00"/>
    <n v="899.97"/>
    <n v="1"/>
    <d v="2026-03-24T22:33:56"/>
  </r>
  <r>
    <s v="TRX0021"/>
    <x v="21"/>
    <s v="CUST006"/>
    <x v="24"/>
    <x v="7"/>
    <x v="7"/>
    <x v="1"/>
    <n v="3"/>
    <n v="79.989999999999995"/>
    <x v="0"/>
    <x v="1"/>
    <x v="0"/>
    <d v="2023-04-30T00:00:00"/>
    <n v="239.97"/>
    <n v="1"/>
    <d v="2026-03-24T22:33:56"/>
  </r>
  <r>
    <s v="TRX0245"/>
    <x v="22"/>
    <s v="CUST031"/>
    <x v="26"/>
    <x v="9"/>
    <x v="9"/>
    <x v="2"/>
    <n v="3"/>
    <n v="199.99"/>
    <x v="1"/>
    <x v="2"/>
    <x v="1"/>
    <d v="2024-01-01T00:00:00"/>
    <n v="599.97"/>
    <n v="0"/>
    <d v="2026-03-24T22:33:56"/>
  </r>
  <r>
    <s v="TRX0015"/>
    <x v="23"/>
    <s v="CUST008"/>
    <x v="27"/>
    <x v="5"/>
    <x v="5"/>
    <x v="0"/>
    <n v="5"/>
    <n v="699.99"/>
    <x v="2"/>
    <x v="3"/>
    <x v="2"/>
    <d v="2021-07-30T00:00:00"/>
    <n v="3499.95"/>
    <n v="2"/>
    <d v="2026-03-24T22:33:56"/>
  </r>
  <r>
    <s v="TRX0202"/>
    <x v="24"/>
    <s v="CUST035"/>
    <x v="28"/>
    <x v="8"/>
    <x v="8"/>
    <x v="0"/>
    <n v="3"/>
    <n v="89.99"/>
    <x v="2"/>
    <x v="0"/>
    <x v="1"/>
    <d v="2023-07-13T00:00:00"/>
    <n v="269.97000000000003"/>
    <n v="0"/>
    <d v="2026-03-24T22:33:56"/>
  </r>
  <r>
    <s v="TRX0042"/>
    <x v="25"/>
    <s v="CUST019"/>
    <x v="29"/>
    <x v="7"/>
    <x v="7"/>
    <x v="1"/>
    <n v="1"/>
    <n v="79.989999999999995"/>
    <x v="0"/>
    <x v="2"/>
    <x v="2"/>
    <d v="2022-12-22T00:00:00"/>
    <n v="79.989999999999995"/>
    <n v="1"/>
    <d v="2026-03-24T22:33:56"/>
  </r>
  <r>
    <s v="TRX0128"/>
    <x v="26"/>
    <s v="CUST040"/>
    <x v="30"/>
    <x v="1"/>
    <x v="1"/>
    <x v="1"/>
    <n v="2"/>
    <n v="59.99"/>
    <x v="0"/>
    <x v="3"/>
    <x v="0"/>
    <d v="2024-04-08T00:00:00"/>
    <n v="119.98"/>
    <n v="0"/>
    <d v="2026-03-24T22:33:56"/>
  </r>
  <r>
    <s v="TRX0117"/>
    <x v="26"/>
    <s v="CUST017"/>
    <x v="6"/>
    <x v="8"/>
    <x v="8"/>
    <x v="0"/>
    <n v="1"/>
    <n v="89.99"/>
    <x v="0"/>
    <x v="2"/>
    <x v="0"/>
    <d v="2023-08-03T00:00:00"/>
    <n v="89.99"/>
    <n v="0"/>
    <d v="2026-03-24T22:33:56"/>
  </r>
  <r>
    <s v="TRX0208"/>
    <x v="27"/>
    <s v="CUST004"/>
    <x v="31"/>
    <x v="8"/>
    <x v="8"/>
    <x v="0"/>
    <n v="5"/>
    <n v="89.99"/>
    <x v="1"/>
    <x v="4"/>
    <x v="2"/>
    <d v="2022-01-26T00:00:00"/>
    <n v="449.95"/>
    <n v="2"/>
    <d v="2026-03-24T22:33:56"/>
  </r>
  <r>
    <s v="TRX0234"/>
    <x v="28"/>
    <s v="CUST013"/>
    <x v="1"/>
    <x v="0"/>
    <x v="0"/>
    <x v="0"/>
    <n v="5"/>
    <n v="249.99"/>
    <x v="1"/>
    <x v="4"/>
    <x v="2"/>
    <d v="2022-05-26T00:00:00"/>
    <n v="1249.95"/>
    <n v="2"/>
    <d v="2026-03-24T22:33:56"/>
  </r>
  <r>
    <s v="TRX0121"/>
    <x v="28"/>
    <s v="CUST028"/>
    <x v="32"/>
    <x v="8"/>
    <x v="8"/>
    <x v="0"/>
    <n v="1"/>
    <n v="89.99"/>
    <x v="1"/>
    <x v="1"/>
    <x v="2"/>
    <d v="2022-01-21T00:00:00"/>
    <n v="89.99"/>
    <n v="2"/>
    <d v="2026-03-24T22:33:56"/>
  </r>
  <r>
    <s v="TRX0220"/>
    <x v="29"/>
    <s v="CUST003"/>
    <x v="4"/>
    <x v="2"/>
    <x v="2"/>
    <x v="2"/>
    <n v="2"/>
    <n v="149.99"/>
    <x v="0"/>
    <x v="4"/>
    <x v="1"/>
    <d v="2022-03-25T00:00:00"/>
    <n v="299.98"/>
    <n v="2"/>
    <d v="2026-03-24T22:33:56"/>
  </r>
  <r>
    <s v="TRX0093"/>
    <x v="30"/>
    <s v="CUST050"/>
    <x v="33"/>
    <x v="1"/>
    <x v="1"/>
    <x v="1"/>
    <n v="4"/>
    <n v="59.99"/>
    <x v="0"/>
    <x v="4"/>
    <x v="2"/>
    <d v="2021-08-27T00:00:00"/>
    <n v="239.96"/>
    <n v="2"/>
    <d v="2026-03-24T22:33:56"/>
  </r>
  <r>
    <s v="TRX0088"/>
    <x v="31"/>
    <s v="CUST006"/>
    <x v="24"/>
    <x v="8"/>
    <x v="8"/>
    <x v="0"/>
    <n v="5"/>
    <n v="89.99"/>
    <x v="0"/>
    <x v="0"/>
    <x v="1"/>
    <d v="2022-01-18T00:00:00"/>
    <n v="449.95"/>
    <n v="2"/>
    <d v="2026-03-24T22:33:56"/>
  </r>
  <r>
    <s v="TRX0115"/>
    <x v="32"/>
    <s v="CUST012"/>
    <x v="18"/>
    <x v="8"/>
    <x v="8"/>
    <x v="0"/>
    <n v="2"/>
    <n v="89.99"/>
    <x v="1"/>
    <x v="1"/>
    <x v="1"/>
    <d v="2021-10-02T00:00:00"/>
    <n v="179.98"/>
    <n v="2"/>
    <d v="2026-03-24T22:33:56"/>
  </r>
  <r>
    <s v="TRX0154"/>
    <x v="32"/>
    <s v="CUST023"/>
    <x v="0"/>
    <x v="4"/>
    <x v="4"/>
    <x v="0"/>
    <n v="5"/>
    <n v="899.99"/>
    <x v="1"/>
    <x v="1"/>
    <x v="2"/>
    <d v="2023-02-17T00:00:00"/>
    <n v="4499.95"/>
    <n v="1"/>
    <d v="2026-03-24T22:33:56"/>
  </r>
  <r>
    <s v="TRX0044"/>
    <x v="32"/>
    <s v="CUST029"/>
    <x v="23"/>
    <x v="4"/>
    <x v="4"/>
    <x v="0"/>
    <n v="5"/>
    <n v="899.99"/>
    <x v="2"/>
    <x v="4"/>
    <x v="1"/>
    <d v="2023-12-18T00:00:00"/>
    <n v="4499.95"/>
    <n v="0"/>
    <d v="2026-03-24T22:33:56"/>
  </r>
  <r>
    <s v="TRX0061"/>
    <x v="33"/>
    <s v="CUST028"/>
    <x v="32"/>
    <x v="1"/>
    <x v="1"/>
    <x v="1"/>
    <n v="1"/>
    <n v="59.99"/>
    <x v="3"/>
    <x v="3"/>
    <x v="1"/>
    <d v="2023-09-21T00:00:00"/>
    <n v="59.99"/>
    <n v="0"/>
    <d v="2026-03-24T22:33:56"/>
  </r>
  <r>
    <s v="TRX0150"/>
    <x v="33"/>
    <s v="CUST008"/>
    <x v="27"/>
    <x v="6"/>
    <x v="6"/>
    <x v="2"/>
    <n v="2"/>
    <n v="299.99"/>
    <x v="3"/>
    <x v="4"/>
    <x v="2"/>
    <d v="2023-11-23T00:00:00"/>
    <n v="599.98"/>
    <n v="0"/>
    <d v="2026-03-24T22:33:56"/>
  </r>
  <r>
    <s v="TRX0025"/>
    <x v="34"/>
    <s v="CUST049"/>
    <x v="34"/>
    <x v="8"/>
    <x v="8"/>
    <x v="0"/>
    <n v="4"/>
    <n v="89.99"/>
    <x v="3"/>
    <x v="1"/>
    <x v="0"/>
    <d v="2023-12-21T00:00:00"/>
    <n v="359.96"/>
    <n v="0"/>
    <d v="2026-03-24T22:33:56"/>
  </r>
  <r>
    <s v="TRX0078"/>
    <x v="35"/>
    <s v="CUST021"/>
    <x v="2"/>
    <x v="7"/>
    <x v="7"/>
    <x v="1"/>
    <n v="1"/>
    <n v="79.989999999999995"/>
    <x v="2"/>
    <x v="0"/>
    <x v="1"/>
    <d v="2024-03-01T00:00:00"/>
    <n v="79.989999999999995"/>
    <n v="0"/>
    <d v="2026-03-24T22:33:56"/>
  </r>
  <r>
    <s v="TRX0007"/>
    <x v="35"/>
    <s v="CUST009"/>
    <x v="7"/>
    <x v="8"/>
    <x v="8"/>
    <x v="0"/>
    <n v="2"/>
    <n v="89.99"/>
    <x v="0"/>
    <x v="3"/>
    <x v="0"/>
    <d v="2021-08-30T00:00:00"/>
    <n v="179.98"/>
    <n v="2"/>
    <d v="2026-03-24T22:33:56"/>
  </r>
  <r>
    <s v="TRX0184"/>
    <x v="36"/>
    <s v="CUST046"/>
    <x v="3"/>
    <x v="5"/>
    <x v="5"/>
    <x v="0"/>
    <n v="3"/>
    <n v="699.99"/>
    <x v="1"/>
    <x v="4"/>
    <x v="1"/>
    <d v="2023-06-25T00:00:00"/>
    <n v="2099.9699999999998"/>
    <n v="1"/>
    <d v="2026-03-24T22:33:56"/>
  </r>
  <r>
    <s v="TRX0104"/>
    <x v="36"/>
    <s v="CUST012"/>
    <x v="18"/>
    <x v="4"/>
    <x v="4"/>
    <x v="0"/>
    <n v="4"/>
    <n v="899.99"/>
    <x v="1"/>
    <x v="4"/>
    <x v="1"/>
    <d v="2023-03-08T00:00:00"/>
    <n v="3599.96"/>
    <n v="1"/>
    <d v="2026-03-24T22:33:56"/>
  </r>
  <r>
    <s v="TRX0127"/>
    <x v="37"/>
    <s v="CUST030"/>
    <x v="22"/>
    <x v="2"/>
    <x v="2"/>
    <x v="2"/>
    <n v="1"/>
    <n v="149.99"/>
    <x v="2"/>
    <x v="4"/>
    <x v="0"/>
    <d v="2022-10-17T00:00:00"/>
    <n v="149.99"/>
    <n v="1"/>
    <d v="2026-03-24T22:33:56"/>
  </r>
  <r>
    <s v="TRX0096"/>
    <x v="38"/>
    <s v="CUST002"/>
    <x v="25"/>
    <x v="8"/>
    <x v="8"/>
    <x v="0"/>
    <n v="2"/>
    <n v="89.99"/>
    <x v="2"/>
    <x v="0"/>
    <x v="1"/>
    <d v="2023-12-15T00:00:00"/>
    <n v="179.98"/>
    <n v="0"/>
    <d v="2026-03-24T22:33:56"/>
  </r>
  <r>
    <s v="TRX0192"/>
    <x v="39"/>
    <s v="CUST017"/>
    <x v="6"/>
    <x v="8"/>
    <x v="8"/>
    <x v="0"/>
    <n v="1"/>
    <n v="89.99"/>
    <x v="2"/>
    <x v="3"/>
    <x v="2"/>
    <d v="2022-08-29T00:00:00"/>
    <n v="89.99"/>
    <n v="1"/>
    <d v="2026-03-24T22:33:56"/>
  </r>
  <r>
    <s v="TRX0052"/>
    <x v="40"/>
    <s v="CUST022"/>
    <x v="9"/>
    <x v="8"/>
    <x v="8"/>
    <x v="0"/>
    <n v="1"/>
    <n v="89.99"/>
    <x v="0"/>
    <x v="1"/>
    <x v="2"/>
    <d v="2022-02-19T00:00:00"/>
    <n v="89.99"/>
    <n v="2"/>
    <d v="2026-03-24T22:33:56"/>
  </r>
  <r>
    <s v="TRX0070"/>
    <x v="40"/>
    <s v="CUST007"/>
    <x v="35"/>
    <x v="7"/>
    <x v="7"/>
    <x v="1"/>
    <n v="5"/>
    <n v="79.989999999999995"/>
    <x v="3"/>
    <x v="0"/>
    <x v="0"/>
    <d v="2023-02-24T00:00:00"/>
    <n v="399.95"/>
    <n v="1"/>
    <d v="2026-03-24T22:33:56"/>
  </r>
  <r>
    <s v="TRX0086"/>
    <x v="41"/>
    <s v="CUST020"/>
    <x v="36"/>
    <x v="2"/>
    <x v="2"/>
    <x v="2"/>
    <n v="1"/>
    <n v="149.99"/>
    <x v="2"/>
    <x v="2"/>
    <x v="0"/>
    <d v="2021-08-13T00:00:00"/>
    <n v="149.99"/>
    <n v="2"/>
    <d v="2026-03-24T22:33:56"/>
  </r>
  <r>
    <s v="TRX0113"/>
    <x v="41"/>
    <s v="CUST003"/>
    <x v="4"/>
    <x v="5"/>
    <x v="5"/>
    <x v="0"/>
    <n v="2"/>
    <n v="699.99"/>
    <x v="2"/>
    <x v="4"/>
    <x v="1"/>
    <d v="2024-04-07T00:00:00"/>
    <n v="1399.98"/>
    <n v="0"/>
    <d v="2026-03-24T22:33:56"/>
  </r>
  <r>
    <s v="TRX0114"/>
    <x v="41"/>
    <s v="CUST018"/>
    <x v="17"/>
    <x v="8"/>
    <x v="8"/>
    <x v="0"/>
    <n v="5"/>
    <n v="89.99"/>
    <x v="3"/>
    <x v="2"/>
    <x v="1"/>
    <d v="2023-08-23T00:00:00"/>
    <n v="449.95"/>
    <n v="0"/>
    <d v="2026-03-24T22:33:56"/>
  </r>
  <r>
    <s v="TRX0136"/>
    <x v="42"/>
    <s v="CUST049"/>
    <x v="34"/>
    <x v="1"/>
    <x v="1"/>
    <x v="1"/>
    <n v="4"/>
    <n v="59.99"/>
    <x v="0"/>
    <x v="1"/>
    <x v="2"/>
    <d v="2021-11-09T00:00:00"/>
    <n v="239.96"/>
    <n v="2"/>
    <d v="2026-03-24T22:33:56"/>
  </r>
  <r>
    <s v="TRX0018"/>
    <x v="43"/>
    <s v="CUST013"/>
    <x v="1"/>
    <x v="3"/>
    <x v="3"/>
    <x v="0"/>
    <n v="1"/>
    <n v="149.99"/>
    <x v="0"/>
    <x v="0"/>
    <x v="2"/>
    <d v="2022-12-14T00:00:00"/>
    <n v="149.99"/>
    <n v="1"/>
    <d v="2026-03-24T22:33:56"/>
  </r>
  <r>
    <s v="TRX0141"/>
    <x v="43"/>
    <s v="CUST033"/>
    <x v="37"/>
    <x v="6"/>
    <x v="6"/>
    <x v="2"/>
    <n v="1"/>
    <n v="299.99"/>
    <x v="1"/>
    <x v="2"/>
    <x v="1"/>
    <d v="2022-11-26T00:00:00"/>
    <n v="299.99"/>
    <n v="1"/>
    <d v="2026-03-24T22:33:56"/>
  </r>
  <r>
    <s v="TRX0097"/>
    <x v="44"/>
    <s v="CUST033"/>
    <x v="37"/>
    <x v="9"/>
    <x v="9"/>
    <x v="2"/>
    <n v="2"/>
    <n v="199.99"/>
    <x v="0"/>
    <x v="2"/>
    <x v="0"/>
    <d v="2021-12-11T00:00:00"/>
    <n v="399.98"/>
    <n v="2"/>
    <d v="2026-03-24T22:33:56"/>
  </r>
  <r>
    <s v="TRX0169"/>
    <x v="45"/>
    <s v="CUST047"/>
    <x v="38"/>
    <x v="1"/>
    <x v="1"/>
    <x v="1"/>
    <n v="3"/>
    <n v="59.99"/>
    <x v="1"/>
    <x v="3"/>
    <x v="0"/>
    <d v="2023-07-23T00:00:00"/>
    <n v="179.97"/>
    <n v="0"/>
    <d v="2026-03-24T22:33:56"/>
  </r>
  <r>
    <s v="TRX0216"/>
    <x v="45"/>
    <s v="CUST041"/>
    <x v="10"/>
    <x v="2"/>
    <x v="2"/>
    <x v="2"/>
    <n v="3"/>
    <n v="149.99"/>
    <x v="0"/>
    <x v="0"/>
    <x v="1"/>
    <d v="2023-09-30T00:00:00"/>
    <n v="449.97"/>
    <n v="0"/>
    <d v="2026-03-24T22:33:56"/>
  </r>
  <r>
    <s v="TRX0131"/>
    <x v="46"/>
    <s v="CUST026"/>
    <x v="8"/>
    <x v="9"/>
    <x v="9"/>
    <x v="2"/>
    <n v="3"/>
    <n v="199.99"/>
    <x v="0"/>
    <x v="2"/>
    <x v="1"/>
    <d v="2023-11-24T00:00:00"/>
    <n v="599.97"/>
    <n v="0"/>
    <d v="2026-03-24T22:33:56"/>
  </r>
  <r>
    <s v="TRX0162"/>
    <x v="47"/>
    <s v="CUST040"/>
    <x v="30"/>
    <x v="4"/>
    <x v="4"/>
    <x v="0"/>
    <n v="1"/>
    <n v="899.99"/>
    <x v="0"/>
    <x v="0"/>
    <x v="2"/>
    <d v="2023-09-10T00:00:00"/>
    <n v="899.99"/>
    <n v="0"/>
    <d v="2026-03-24T22:33:56"/>
  </r>
  <r>
    <s v="TRX0244"/>
    <x v="48"/>
    <s v="CUST013"/>
    <x v="1"/>
    <x v="4"/>
    <x v="4"/>
    <x v="0"/>
    <n v="5"/>
    <n v="899.99"/>
    <x v="3"/>
    <x v="1"/>
    <x v="2"/>
    <d v="2022-12-04T00:00:00"/>
    <n v="4499.95"/>
    <n v="1"/>
    <d v="2026-03-24T22:33:56"/>
  </r>
  <r>
    <s v="TRX0006"/>
    <x v="49"/>
    <s v="CUST007"/>
    <x v="35"/>
    <x v="1"/>
    <x v="1"/>
    <x v="1"/>
    <n v="2"/>
    <n v="59.99"/>
    <x v="0"/>
    <x v="2"/>
    <x v="2"/>
    <d v="2023-08-14T00:00:00"/>
    <n v="119.98"/>
    <n v="0"/>
    <d v="2026-03-24T22:33:56"/>
  </r>
  <r>
    <s v="TRX0215"/>
    <x v="49"/>
    <s v="CUST047"/>
    <x v="38"/>
    <x v="0"/>
    <x v="0"/>
    <x v="0"/>
    <n v="4"/>
    <n v="249.99"/>
    <x v="3"/>
    <x v="0"/>
    <x v="2"/>
    <d v="2023-07-20T00:00:00"/>
    <n v="999.96"/>
    <n v="1"/>
    <d v="2026-03-24T22:33:56"/>
  </r>
  <r>
    <s v="TRX0080"/>
    <x v="50"/>
    <s v="CUST018"/>
    <x v="17"/>
    <x v="0"/>
    <x v="0"/>
    <x v="0"/>
    <n v="2"/>
    <n v="249.99"/>
    <x v="0"/>
    <x v="2"/>
    <x v="1"/>
    <d v="2023-08-26T00:00:00"/>
    <n v="499.98"/>
    <n v="0"/>
    <d v="2026-03-24T22:33:56"/>
  </r>
  <r>
    <s v="TRX0228"/>
    <x v="50"/>
    <s v="CUST019"/>
    <x v="29"/>
    <x v="6"/>
    <x v="6"/>
    <x v="2"/>
    <n v="1"/>
    <n v="299.99"/>
    <x v="0"/>
    <x v="1"/>
    <x v="0"/>
    <d v="2023-02-25T00:00:00"/>
    <n v="299.99"/>
    <n v="1"/>
    <d v="2026-03-24T22:33:56"/>
  </r>
  <r>
    <s v="TRX0157"/>
    <x v="51"/>
    <s v="CUST025"/>
    <x v="14"/>
    <x v="8"/>
    <x v="8"/>
    <x v="0"/>
    <n v="2"/>
    <n v="89.99"/>
    <x v="2"/>
    <x v="1"/>
    <x v="0"/>
    <d v="2023-02-19T00:00:00"/>
    <n v="179.98"/>
    <n v="1"/>
    <d v="2026-03-24T22:33:56"/>
  </r>
  <r>
    <s v="TRX0002"/>
    <x v="51"/>
    <s v="CUST019"/>
    <x v="29"/>
    <x v="6"/>
    <x v="6"/>
    <x v="2"/>
    <n v="3"/>
    <n v="299.99"/>
    <x v="0"/>
    <x v="0"/>
    <x v="0"/>
    <d v="2022-06-20T00:00:00"/>
    <n v="899.97"/>
    <n v="2"/>
    <d v="2026-03-24T22:33:56"/>
  </r>
  <r>
    <s v="TRX0217"/>
    <x v="52"/>
    <s v="CUST025"/>
    <x v="14"/>
    <x v="5"/>
    <x v="5"/>
    <x v="0"/>
    <n v="2"/>
    <n v="699.99"/>
    <x v="1"/>
    <x v="2"/>
    <x v="1"/>
    <d v="2023-03-14T00:00:00"/>
    <n v="1399.98"/>
    <n v="1"/>
    <d v="2026-03-24T22:33:56"/>
  </r>
  <r>
    <s v="TRX0249"/>
    <x v="53"/>
    <s v="CUST030"/>
    <x v="22"/>
    <x v="4"/>
    <x v="4"/>
    <x v="0"/>
    <n v="4"/>
    <n v="899.99"/>
    <x v="3"/>
    <x v="1"/>
    <x v="2"/>
    <d v="2021-11-23T00:00:00"/>
    <n v="3599.96"/>
    <n v="2"/>
    <d v="2026-03-24T22:33:56"/>
  </r>
  <r>
    <s v="TRX0065"/>
    <x v="54"/>
    <s v="CUST016"/>
    <x v="39"/>
    <x v="2"/>
    <x v="2"/>
    <x v="2"/>
    <n v="2"/>
    <n v="149.99"/>
    <x v="1"/>
    <x v="3"/>
    <x v="0"/>
    <d v="2021-12-12T00:00:00"/>
    <n v="299.98"/>
    <n v="2"/>
    <d v="2026-03-24T22:33:56"/>
  </r>
  <r>
    <s v="TRX0176"/>
    <x v="55"/>
    <s v="CUST044"/>
    <x v="19"/>
    <x v="2"/>
    <x v="2"/>
    <x v="2"/>
    <n v="2"/>
    <n v="149.99"/>
    <x v="3"/>
    <x v="4"/>
    <x v="2"/>
    <d v="2022-04-16T00:00:00"/>
    <n v="299.98"/>
    <n v="2"/>
    <d v="2026-03-24T22:33:56"/>
  </r>
  <r>
    <s v="TRX0101"/>
    <x v="56"/>
    <s v="CUST010"/>
    <x v="15"/>
    <x v="8"/>
    <x v="8"/>
    <x v="0"/>
    <n v="1"/>
    <n v="89.99"/>
    <x v="1"/>
    <x v="2"/>
    <x v="2"/>
    <d v="2024-04-11T00:00:00"/>
    <n v="89.99"/>
    <n v="0"/>
    <d v="2026-03-24T22:33:56"/>
  </r>
  <r>
    <s v="TRX0205"/>
    <x v="57"/>
    <s v="CUST025"/>
    <x v="14"/>
    <x v="6"/>
    <x v="6"/>
    <x v="2"/>
    <n v="5"/>
    <n v="299.99"/>
    <x v="1"/>
    <x v="2"/>
    <x v="0"/>
    <d v="2023-02-08T00:00:00"/>
    <n v="1499.95"/>
    <n v="1"/>
    <d v="2026-03-24T22:33:56"/>
  </r>
  <r>
    <s v="TRX0020"/>
    <x v="58"/>
    <s v="CUST007"/>
    <x v="35"/>
    <x v="3"/>
    <x v="3"/>
    <x v="0"/>
    <n v="4"/>
    <n v="149.99"/>
    <x v="3"/>
    <x v="1"/>
    <x v="1"/>
    <d v="2022-09-16T00:00:00"/>
    <n v="599.96"/>
    <n v="1"/>
    <d v="2026-03-24T22:33:56"/>
  </r>
  <r>
    <s v="TRX0075"/>
    <x v="58"/>
    <s v="CUST020"/>
    <x v="36"/>
    <x v="0"/>
    <x v="0"/>
    <x v="0"/>
    <n v="5"/>
    <n v="249.99"/>
    <x v="2"/>
    <x v="4"/>
    <x v="1"/>
    <d v="2022-08-09T00:00:00"/>
    <n v="1249.95"/>
    <n v="2"/>
    <d v="2026-03-24T22:33:56"/>
  </r>
  <r>
    <s v="TRX0098"/>
    <x v="58"/>
    <s v="CUST026"/>
    <x v="8"/>
    <x v="0"/>
    <x v="0"/>
    <x v="0"/>
    <n v="3"/>
    <n v="249.99"/>
    <x v="2"/>
    <x v="2"/>
    <x v="1"/>
    <d v="2021-09-26T00:00:00"/>
    <n v="749.97"/>
    <n v="2"/>
    <d v="2026-03-24T22:33:56"/>
  </r>
  <r>
    <s v="TRX0247"/>
    <x v="58"/>
    <s v="CUST046"/>
    <x v="3"/>
    <x v="9"/>
    <x v="9"/>
    <x v="2"/>
    <n v="4"/>
    <n v="199.99"/>
    <x v="0"/>
    <x v="2"/>
    <x v="2"/>
    <d v="2021-09-19T00:00:00"/>
    <n v="799.96"/>
    <n v="2"/>
    <d v="2026-03-24T22:33:56"/>
  </r>
  <r>
    <s v="TRX0027"/>
    <x v="59"/>
    <s v="CUST028"/>
    <x v="32"/>
    <x v="9"/>
    <x v="9"/>
    <x v="2"/>
    <n v="5"/>
    <n v="199.99"/>
    <x v="0"/>
    <x v="2"/>
    <x v="1"/>
    <d v="2023-03-06T00:00:00"/>
    <n v="999.95"/>
    <n v="1"/>
    <d v="2026-03-24T22:33:56"/>
  </r>
  <r>
    <s v="TRX0140"/>
    <x v="60"/>
    <s v="CUST025"/>
    <x v="14"/>
    <x v="8"/>
    <x v="8"/>
    <x v="0"/>
    <n v="2"/>
    <n v="89.99"/>
    <x v="0"/>
    <x v="4"/>
    <x v="1"/>
    <d v="2023-02-15T00:00:00"/>
    <n v="179.98"/>
    <n v="1"/>
    <d v="2026-03-24T22:33:56"/>
  </r>
  <r>
    <s v="TRX0132"/>
    <x v="61"/>
    <s v="CUST047"/>
    <x v="38"/>
    <x v="4"/>
    <x v="4"/>
    <x v="0"/>
    <n v="5"/>
    <n v="899.99"/>
    <x v="3"/>
    <x v="4"/>
    <x v="0"/>
    <d v="2021-11-26T00:00:00"/>
    <n v="4499.95"/>
    <n v="2"/>
    <d v="2026-03-24T22:33:56"/>
  </r>
  <r>
    <s v="TRX0031"/>
    <x v="61"/>
    <s v="CUST036"/>
    <x v="20"/>
    <x v="3"/>
    <x v="3"/>
    <x v="0"/>
    <n v="3"/>
    <n v="149.99"/>
    <x v="2"/>
    <x v="4"/>
    <x v="0"/>
    <d v="2022-01-13T00:00:00"/>
    <n v="449.97"/>
    <n v="2"/>
    <d v="2026-03-24T22:33:56"/>
  </r>
  <r>
    <s v="TRX0236"/>
    <x v="62"/>
    <s v="CUST044"/>
    <x v="19"/>
    <x v="2"/>
    <x v="2"/>
    <x v="2"/>
    <n v="5"/>
    <n v="149.99"/>
    <x v="1"/>
    <x v="0"/>
    <x v="0"/>
    <d v="2024-01-19T00:00:00"/>
    <n v="749.95"/>
    <n v="0"/>
    <d v="2026-03-24T22:33:56"/>
  </r>
  <r>
    <s v="TRX0001"/>
    <x v="63"/>
    <s v="CUST039"/>
    <x v="40"/>
    <x v="7"/>
    <x v="7"/>
    <x v="1"/>
    <n v="3"/>
    <n v="79.989999999999995"/>
    <x v="0"/>
    <x v="0"/>
    <x v="1"/>
    <d v="2022-08-06T00:00:00"/>
    <n v="239.97"/>
    <n v="2"/>
    <d v="2026-03-24T22:33:56"/>
  </r>
  <r>
    <s v="TRX0037"/>
    <x v="63"/>
    <s v="CUST035"/>
    <x v="28"/>
    <x v="0"/>
    <x v="0"/>
    <x v="0"/>
    <n v="2"/>
    <n v="249.99"/>
    <x v="0"/>
    <x v="1"/>
    <x v="2"/>
    <d v="2022-01-11T00:00:00"/>
    <n v="499.98"/>
    <n v="2"/>
    <d v="2026-03-24T22:33:56"/>
  </r>
  <r>
    <s v="TRX0058"/>
    <x v="64"/>
    <s v="CUST047"/>
    <x v="38"/>
    <x v="5"/>
    <x v="5"/>
    <x v="0"/>
    <n v="1"/>
    <n v="699.99"/>
    <x v="0"/>
    <x v="0"/>
    <x v="1"/>
    <d v="2021-10-28T00:00:00"/>
    <n v="699.99"/>
    <n v="2"/>
    <d v="2026-03-24T22:33:56"/>
  </r>
  <r>
    <s v="TRX0170"/>
    <x v="64"/>
    <s v="CUST034"/>
    <x v="41"/>
    <x v="3"/>
    <x v="3"/>
    <x v="0"/>
    <n v="3"/>
    <n v="149.99"/>
    <x v="0"/>
    <x v="3"/>
    <x v="1"/>
    <d v="2023-10-13T00:00:00"/>
    <n v="449.97"/>
    <n v="0"/>
    <d v="2026-03-24T22:33:56"/>
  </r>
  <r>
    <s v="TRX0248"/>
    <x v="65"/>
    <s v="CUST032"/>
    <x v="42"/>
    <x v="5"/>
    <x v="5"/>
    <x v="0"/>
    <n v="2"/>
    <n v="699.99"/>
    <x v="1"/>
    <x v="2"/>
    <x v="1"/>
    <d v="2021-08-13T00:00:00"/>
    <n v="1399.98"/>
    <n v="3"/>
    <d v="2026-03-24T22:33:56"/>
  </r>
  <r>
    <s v="TRX0099"/>
    <x v="66"/>
    <s v="CUST034"/>
    <x v="41"/>
    <x v="0"/>
    <x v="0"/>
    <x v="0"/>
    <n v="1"/>
    <n v="249.99"/>
    <x v="1"/>
    <x v="3"/>
    <x v="1"/>
    <d v="2022-05-04T00:00:00"/>
    <n v="249.99"/>
    <n v="2"/>
    <d v="2026-03-24T22:33:56"/>
  </r>
  <r>
    <s v="TRX0074"/>
    <x v="66"/>
    <s v="CUST023"/>
    <x v="0"/>
    <x v="0"/>
    <x v="0"/>
    <x v="0"/>
    <n v="1"/>
    <n v="249.99"/>
    <x v="3"/>
    <x v="2"/>
    <x v="1"/>
    <d v="2024-02-10T00:00:00"/>
    <n v="249.99"/>
    <n v="0"/>
    <d v="2026-03-24T22:33:56"/>
  </r>
  <r>
    <s v="TRX0225"/>
    <x v="67"/>
    <s v="CUST039"/>
    <x v="40"/>
    <x v="5"/>
    <x v="5"/>
    <x v="0"/>
    <n v="2"/>
    <n v="699.99"/>
    <x v="3"/>
    <x v="0"/>
    <x v="1"/>
    <d v="2022-11-05T00:00:00"/>
    <n v="1399.98"/>
    <n v="1"/>
    <d v="2026-03-24T22:33:56"/>
  </r>
  <r>
    <s v="TRX0100"/>
    <x v="68"/>
    <s v="CUST031"/>
    <x v="26"/>
    <x v="1"/>
    <x v="1"/>
    <x v="1"/>
    <n v="3"/>
    <n v="59.99"/>
    <x v="1"/>
    <x v="0"/>
    <x v="1"/>
    <d v="2022-06-05T00:00:00"/>
    <n v="179.97"/>
    <n v="2"/>
    <d v="2026-03-24T22:33:56"/>
  </r>
  <r>
    <s v="TRX0142"/>
    <x v="69"/>
    <s v="CUST002"/>
    <x v="25"/>
    <x v="1"/>
    <x v="1"/>
    <x v="1"/>
    <n v="3"/>
    <n v="59.99"/>
    <x v="2"/>
    <x v="4"/>
    <x v="2"/>
    <d v="2022-07-06T00:00:00"/>
    <n v="179.97"/>
    <n v="2"/>
    <d v="2026-03-24T22:33:56"/>
  </r>
  <r>
    <s v="TRX0112"/>
    <x v="69"/>
    <s v="CUST008"/>
    <x v="27"/>
    <x v="7"/>
    <x v="7"/>
    <x v="1"/>
    <n v="4"/>
    <n v="79.989999999999995"/>
    <x v="0"/>
    <x v="2"/>
    <x v="0"/>
    <d v="2021-11-30T00:00:00"/>
    <n v="319.95999999999998"/>
    <n v="2"/>
    <d v="2026-03-24T22:33:56"/>
  </r>
  <r>
    <s v="TRX0161"/>
    <x v="70"/>
    <s v="CUST017"/>
    <x v="6"/>
    <x v="7"/>
    <x v="7"/>
    <x v="1"/>
    <n v="1"/>
    <n v="79.989999999999995"/>
    <x v="0"/>
    <x v="3"/>
    <x v="0"/>
    <d v="2022-05-12T00:00:00"/>
    <n v="79.989999999999995"/>
    <n v="2"/>
    <d v="2026-03-24T22:33:56"/>
  </r>
  <r>
    <s v="TRX0108"/>
    <x v="71"/>
    <s v="CUST024"/>
    <x v="5"/>
    <x v="6"/>
    <x v="6"/>
    <x v="2"/>
    <n v="3"/>
    <n v="299.99"/>
    <x v="1"/>
    <x v="0"/>
    <x v="1"/>
    <d v="2021-10-25T00:00:00"/>
    <n v="899.97"/>
    <n v="2"/>
    <d v="2026-03-24T22:33:56"/>
  </r>
  <r>
    <s v="TRX0211"/>
    <x v="72"/>
    <s v="CUST046"/>
    <x v="3"/>
    <x v="8"/>
    <x v="8"/>
    <x v="0"/>
    <n v="2"/>
    <n v="89.99"/>
    <x v="1"/>
    <x v="1"/>
    <x v="1"/>
    <d v="2022-03-21T00:00:00"/>
    <n v="179.98"/>
    <n v="2"/>
    <d v="2026-03-24T22:33:56"/>
  </r>
  <r>
    <s v="TRX0005"/>
    <x v="73"/>
    <s v="CUST042"/>
    <x v="43"/>
    <x v="3"/>
    <x v="3"/>
    <x v="0"/>
    <n v="4"/>
    <n v="149.99"/>
    <x v="0"/>
    <x v="2"/>
    <x v="0"/>
    <d v="2022-12-14T00:00:00"/>
    <n v="599.96"/>
    <n v="1"/>
    <d v="2026-03-24T22:33:56"/>
  </r>
  <r>
    <s v="TRX0195"/>
    <x v="74"/>
    <s v="CUST026"/>
    <x v="8"/>
    <x v="0"/>
    <x v="0"/>
    <x v="0"/>
    <n v="2"/>
    <n v="249.99"/>
    <x v="2"/>
    <x v="1"/>
    <x v="0"/>
    <d v="2023-03-08T00:00:00"/>
    <n v="499.98"/>
    <n v="1"/>
    <d v="2026-03-24T22:33:56"/>
  </r>
  <r>
    <s v="TRX0054"/>
    <x v="74"/>
    <s v="CUST004"/>
    <x v="31"/>
    <x v="9"/>
    <x v="9"/>
    <x v="2"/>
    <n v="4"/>
    <n v="199.99"/>
    <x v="3"/>
    <x v="4"/>
    <x v="0"/>
    <d v="2021-09-19T00:00:00"/>
    <n v="799.96"/>
    <n v="2"/>
    <d v="2026-03-24T22:33:56"/>
  </r>
  <r>
    <s v="TRX0077"/>
    <x v="75"/>
    <s v="CUST019"/>
    <x v="29"/>
    <x v="8"/>
    <x v="8"/>
    <x v="0"/>
    <n v="5"/>
    <n v="89.99"/>
    <x v="1"/>
    <x v="4"/>
    <x v="1"/>
    <d v="2021-09-07T00:00:00"/>
    <n v="449.95"/>
    <n v="3"/>
    <d v="2026-03-24T22:33:56"/>
  </r>
  <r>
    <s v="TRX0111"/>
    <x v="75"/>
    <s v="CUST011"/>
    <x v="44"/>
    <x v="3"/>
    <x v="3"/>
    <x v="0"/>
    <n v="1"/>
    <n v="149.99"/>
    <x v="2"/>
    <x v="4"/>
    <x v="2"/>
    <d v="2021-10-13T00:00:00"/>
    <n v="149.99"/>
    <n v="2"/>
    <d v="2026-03-24T22:33:56"/>
  </r>
  <r>
    <s v="TRX0123"/>
    <x v="75"/>
    <s v="CUST041"/>
    <x v="10"/>
    <x v="5"/>
    <x v="5"/>
    <x v="0"/>
    <n v="4"/>
    <n v="699.99"/>
    <x v="2"/>
    <x v="1"/>
    <x v="0"/>
    <d v="2022-02-26T00:00:00"/>
    <n v="2799.96"/>
    <n v="2"/>
    <d v="2026-03-24T22:33:56"/>
  </r>
  <r>
    <s v="TRX0177"/>
    <x v="76"/>
    <s v="CUST032"/>
    <x v="42"/>
    <x v="4"/>
    <x v="4"/>
    <x v="0"/>
    <n v="3"/>
    <n v="899.99"/>
    <x v="1"/>
    <x v="2"/>
    <x v="2"/>
    <d v="2023-08-19T00:00:00"/>
    <n v="2699.97"/>
    <n v="1"/>
    <d v="2026-03-24T22:33:56"/>
  </r>
  <r>
    <s v="TRX0119"/>
    <x v="77"/>
    <s v="CUST014"/>
    <x v="21"/>
    <x v="2"/>
    <x v="2"/>
    <x v="2"/>
    <n v="3"/>
    <n v="149.99"/>
    <x v="2"/>
    <x v="4"/>
    <x v="0"/>
    <d v="2022-11-21T00:00:00"/>
    <n v="449.97"/>
    <n v="1"/>
    <d v="2026-03-24T22:33:56"/>
  </r>
  <r>
    <s v="TRX0181"/>
    <x v="78"/>
    <s v="CUST012"/>
    <x v="18"/>
    <x v="6"/>
    <x v="6"/>
    <x v="2"/>
    <n v="2"/>
    <n v="299.99"/>
    <x v="3"/>
    <x v="0"/>
    <x v="0"/>
    <d v="2022-01-08T00:00:00"/>
    <n v="599.98"/>
    <n v="2"/>
    <d v="2026-03-24T22:33:56"/>
  </r>
  <r>
    <s v="TRX0129"/>
    <x v="79"/>
    <s v="CUST015"/>
    <x v="45"/>
    <x v="9"/>
    <x v="9"/>
    <x v="2"/>
    <n v="1"/>
    <n v="199.99"/>
    <x v="3"/>
    <x v="4"/>
    <x v="2"/>
    <d v="2023-01-27T00:00:00"/>
    <n v="199.99"/>
    <n v="1"/>
    <d v="2026-03-24T22:33:56"/>
  </r>
  <r>
    <s v="TRX0174"/>
    <x v="80"/>
    <s v="CUST003"/>
    <x v="4"/>
    <x v="6"/>
    <x v="6"/>
    <x v="2"/>
    <n v="4"/>
    <n v="299.99"/>
    <x v="0"/>
    <x v="0"/>
    <x v="1"/>
    <d v="2021-09-21T00:00:00"/>
    <n v="1199.96"/>
    <n v="3"/>
    <d v="2026-03-24T22:33:56"/>
  </r>
  <r>
    <s v="TRX0146"/>
    <x v="81"/>
    <s v="CUST010"/>
    <x v="15"/>
    <x v="1"/>
    <x v="1"/>
    <x v="1"/>
    <n v="2"/>
    <n v="59.99"/>
    <x v="1"/>
    <x v="0"/>
    <x v="0"/>
    <d v="2022-01-18T00:00:00"/>
    <n v="119.98"/>
    <n v="2"/>
    <d v="2026-03-24T22:33:56"/>
  </r>
  <r>
    <s v="TRX0203"/>
    <x v="81"/>
    <s v="CUST032"/>
    <x v="42"/>
    <x v="3"/>
    <x v="3"/>
    <x v="0"/>
    <n v="4"/>
    <n v="149.99"/>
    <x v="1"/>
    <x v="2"/>
    <x v="1"/>
    <d v="2023-05-30T00:00:00"/>
    <n v="599.96"/>
    <n v="1"/>
    <d v="2026-03-24T22:33:56"/>
  </r>
  <r>
    <s v="TRX0055"/>
    <x v="82"/>
    <s v="CUST016"/>
    <x v="39"/>
    <x v="5"/>
    <x v="5"/>
    <x v="0"/>
    <n v="2"/>
    <n v="699.99"/>
    <x v="3"/>
    <x v="4"/>
    <x v="1"/>
    <d v="2023-12-14T00:00:00"/>
    <n v="1399.98"/>
    <n v="0"/>
    <d v="2026-03-24T22:33:56"/>
  </r>
  <r>
    <s v="TRX0218"/>
    <x v="82"/>
    <s v="CUST034"/>
    <x v="41"/>
    <x v="2"/>
    <x v="2"/>
    <x v="2"/>
    <n v="3"/>
    <n v="149.99"/>
    <x v="1"/>
    <x v="1"/>
    <x v="2"/>
    <d v="2023-01-14T00:00:00"/>
    <n v="449.97"/>
    <n v="1"/>
    <d v="2026-03-24T22:33:56"/>
  </r>
  <r>
    <s v="TRX0085"/>
    <x v="83"/>
    <s v="CUST019"/>
    <x v="29"/>
    <x v="6"/>
    <x v="6"/>
    <x v="2"/>
    <n v="3"/>
    <n v="299.99"/>
    <x v="1"/>
    <x v="0"/>
    <x v="2"/>
    <d v="2023-09-05T00:00:00"/>
    <n v="899.97"/>
    <n v="1"/>
    <d v="2026-03-24T22:33:56"/>
  </r>
  <r>
    <s v="TRX0158"/>
    <x v="84"/>
    <s v="CUST027"/>
    <x v="13"/>
    <x v="4"/>
    <x v="4"/>
    <x v="0"/>
    <n v="3"/>
    <n v="899.99"/>
    <x v="2"/>
    <x v="3"/>
    <x v="0"/>
    <d v="2023-10-16T00:00:00"/>
    <n v="2699.97"/>
    <n v="0"/>
    <d v="2026-03-24T22:33:56"/>
  </r>
  <r>
    <s v="TRX0173"/>
    <x v="85"/>
    <s v="CUST018"/>
    <x v="17"/>
    <x v="5"/>
    <x v="5"/>
    <x v="0"/>
    <n v="5"/>
    <n v="699.99"/>
    <x v="0"/>
    <x v="4"/>
    <x v="2"/>
    <d v="2023-03-23T00:00:00"/>
    <n v="3499.95"/>
    <n v="1"/>
    <d v="2026-03-24T22:33:56"/>
  </r>
  <r>
    <s v="TRX0034"/>
    <x v="85"/>
    <s v="CUST049"/>
    <x v="34"/>
    <x v="5"/>
    <x v="5"/>
    <x v="0"/>
    <n v="4"/>
    <n v="699.99"/>
    <x v="1"/>
    <x v="0"/>
    <x v="0"/>
    <d v="2024-04-03T00:00:00"/>
    <n v="2799.96"/>
    <n v="0"/>
    <d v="2026-03-24T22:33:56"/>
  </r>
  <r>
    <s v="TRX0189"/>
    <x v="85"/>
    <s v="CUST040"/>
    <x v="30"/>
    <x v="4"/>
    <x v="4"/>
    <x v="0"/>
    <n v="1"/>
    <n v="899.99"/>
    <x v="1"/>
    <x v="4"/>
    <x v="2"/>
    <d v="2024-03-18T00:00:00"/>
    <n v="899.99"/>
    <n v="0"/>
    <d v="2026-03-24T22:33:56"/>
  </r>
  <r>
    <s v="TRX0190"/>
    <x v="86"/>
    <s v="CUST039"/>
    <x v="40"/>
    <x v="3"/>
    <x v="3"/>
    <x v="0"/>
    <n v="2"/>
    <n v="149.99"/>
    <x v="1"/>
    <x v="3"/>
    <x v="0"/>
    <d v="2022-12-21T00:00:00"/>
    <n v="299.98"/>
    <n v="1"/>
    <d v="2026-03-24T22:33:56"/>
  </r>
  <r>
    <s v="TRX0079"/>
    <x v="87"/>
    <s v="CUST039"/>
    <x v="40"/>
    <x v="8"/>
    <x v="8"/>
    <x v="0"/>
    <n v="3"/>
    <n v="89.99"/>
    <x v="2"/>
    <x v="0"/>
    <x v="0"/>
    <d v="2021-12-21T00:00:00"/>
    <n v="269.97000000000003"/>
    <n v="2"/>
    <d v="2026-03-24T22:33:56"/>
  </r>
  <r>
    <s v="TRX0095"/>
    <x v="88"/>
    <s v="CUST046"/>
    <x v="3"/>
    <x v="3"/>
    <x v="3"/>
    <x v="0"/>
    <n v="2"/>
    <n v="149.99"/>
    <x v="2"/>
    <x v="0"/>
    <x v="0"/>
    <d v="2021-10-04T00:00:00"/>
    <n v="299.98"/>
    <n v="3"/>
    <d v="2026-03-24T22:33:56"/>
  </r>
  <r>
    <s v="TRX0009"/>
    <x v="88"/>
    <s v="CUST004"/>
    <x v="31"/>
    <x v="5"/>
    <x v="5"/>
    <x v="0"/>
    <n v="2"/>
    <n v="699.99"/>
    <x v="0"/>
    <x v="0"/>
    <x v="0"/>
    <d v="2023-03-07T00:00:00"/>
    <n v="1399.98"/>
    <n v="1"/>
    <d v="2026-03-24T22:33:56"/>
  </r>
  <r>
    <s v="TRX0167"/>
    <x v="89"/>
    <s v="CUST028"/>
    <x v="32"/>
    <x v="5"/>
    <x v="5"/>
    <x v="0"/>
    <n v="5"/>
    <n v="699.99"/>
    <x v="0"/>
    <x v="2"/>
    <x v="1"/>
    <d v="2022-03-15T00:00:00"/>
    <n v="3499.95"/>
    <n v="2"/>
    <d v="2026-03-24T22:33:56"/>
  </r>
  <r>
    <s v="TRX0153"/>
    <x v="90"/>
    <s v="CUST049"/>
    <x v="34"/>
    <x v="8"/>
    <x v="8"/>
    <x v="0"/>
    <n v="3"/>
    <n v="89.99"/>
    <x v="1"/>
    <x v="2"/>
    <x v="2"/>
    <d v="2022-02-23T00:00:00"/>
    <n v="269.97000000000003"/>
    <n v="2"/>
    <d v="2026-03-24T22:33:56"/>
  </r>
  <r>
    <s v="TRX0057"/>
    <x v="91"/>
    <s v="CUST023"/>
    <x v="0"/>
    <x v="0"/>
    <x v="0"/>
    <x v="0"/>
    <n v="5"/>
    <n v="249.99"/>
    <x v="1"/>
    <x v="1"/>
    <x v="2"/>
    <d v="2022-11-16T00:00:00"/>
    <n v="1249.95"/>
    <n v="1"/>
    <d v="2026-03-24T22:33:56"/>
  </r>
  <r>
    <s v="TRX0017"/>
    <x v="92"/>
    <s v="CUST026"/>
    <x v="8"/>
    <x v="6"/>
    <x v="6"/>
    <x v="2"/>
    <n v="3"/>
    <n v="299.99"/>
    <x v="1"/>
    <x v="1"/>
    <x v="2"/>
    <d v="2021-11-02T00:00:00"/>
    <n v="899.97"/>
    <n v="3"/>
    <d v="2026-03-24T22:33:56"/>
  </r>
  <r>
    <s v="TRX0060"/>
    <x v="93"/>
    <s v="CUST012"/>
    <x v="18"/>
    <x v="8"/>
    <x v="8"/>
    <x v="0"/>
    <n v="3"/>
    <n v="89.99"/>
    <x v="1"/>
    <x v="2"/>
    <x v="1"/>
    <d v="2021-08-12T00:00:00"/>
    <n v="269.97000000000003"/>
    <n v="3"/>
    <d v="2026-03-24T22:33:56"/>
  </r>
  <r>
    <s v="TRX0109"/>
    <x v="94"/>
    <s v="CUST010"/>
    <x v="15"/>
    <x v="2"/>
    <x v="2"/>
    <x v="2"/>
    <n v="2"/>
    <n v="149.99"/>
    <x v="1"/>
    <x v="3"/>
    <x v="1"/>
    <d v="2022-10-14T00:00:00"/>
    <n v="299.98"/>
    <n v="2"/>
    <d v="2026-03-24T22:33:56"/>
  </r>
  <r>
    <s v="TRX0090"/>
    <x v="95"/>
    <s v="CUST020"/>
    <x v="36"/>
    <x v="0"/>
    <x v="0"/>
    <x v="0"/>
    <n v="1"/>
    <n v="249.99"/>
    <x v="1"/>
    <x v="2"/>
    <x v="1"/>
    <d v="2022-09-24T00:00:00"/>
    <n v="249.99"/>
    <n v="2"/>
    <d v="2026-03-24T22:33:56"/>
  </r>
  <r>
    <s v="TRX0035"/>
    <x v="96"/>
    <s v="CUST041"/>
    <x v="10"/>
    <x v="3"/>
    <x v="3"/>
    <x v="0"/>
    <n v="3"/>
    <n v="149.99"/>
    <x v="0"/>
    <x v="2"/>
    <x v="0"/>
    <d v="2022-07-27T00:00:00"/>
    <n v="449.97"/>
    <n v="2"/>
    <d v="2026-03-24T22:33:56"/>
  </r>
  <r>
    <s v="TRX0172"/>
    <x v="96"/>
    <s v="CUST023"/>
    <x v="0"/>
    <x v="1"/>
    <x v="1"/>
    <x v="1"/>
    <n v="5"/>
    <n v="59.99"/>
    <x v="2"/>
    <x v="3"/>
    <x v="1"/>
    <d v="2022-05-13T00:00:00"/>
    <n v="299.95"/>
    <n v="2"/>
    <d v="2026-03-24T22:33:56"/>
  </r>
  <r>
    <s v="TRX0076"/>
    <x v="96"/>
    <s v="CUST012"/>
    <x v="18"/>
    <x v="0"/>
    <x v="0"/>
    <x v="0"/>
    <n v="4"/>
    <n v="249.99"/>
    <x v="1"/>
    <x v="3"/>
    <x v="2"/>
    <d v="2022-04-08T00:00:00"/>
    <n v="999.96"/>
    <n v="2"/>
    <d v="2026-03-24T22:33:56"/>
  </r>
  <r>
    <s v="TRX0210"/>
    <x v="97"/>
    <s v="CUST004"/>
    <x v="31"/>
    <x v="2"/>
    <x v="2"/>
    <x v="2"/>
    <n v="5"/>
    <n v="149.99"/>
    <x v="2"/>
    <x v="0"/>
    <x v="0"/>
    <d v="2022-12-06T00:00:00"/>
    <n v="749.95"/>
    <n v="1"/>
    <d v="2026-03-24T22:33:56"/>
  </r>
  <r>
    <s v="TRX0149"/>
    <x v="97"/>
    <s v="CUST027"/>
    <x v="13"/>
    <x v="1"/>
    <x v="1"/>
    <x v="1"/>
    <n v="3"/>
    <n v="59.99"/>
    <x v="3"/>
    <x v="1"/>
    <x v="2"/>
    <d v="2023-11-30T00:00:00"/>
    <n v="179.97"/>
    <n v="0"/>
    <d v="2026-03-24T22:33:56"/>
  </r>
  <r>
    <s v="TRX0073"/>
    <x v="98"/>
    <s v="CUST032"/>
    <x v="42"/>
    <x v="2"/>
    <x v="2"/>
    <x v="2"/>
    <n v="5"/>
    <n v="149.99"/>
    <x v="0"/>
    <x v="2"/>
    <x v="0"/>
    <d v="2022-11-04T00:00:00"/>
    <n v="749.95"/>
    <n v="2"/>
    <d v="2026-03-24T22:33:56"/>
  </r>
  <r>
    <s v="TRX0033"/>
    <x v="98"/>
    <s v="CUST025"/>
    <x v="14"/>
    <x v="5"/>
    <x v="5"/>
    <x v="0"/>
    <n v="2"/>
    <n v="699.99"/>
    <x v="2"/>
    <x v="3"/>
    <x v="2"/>
    <d v="2022-07-28T00:00:00"/>
    <n v="1399.98"/>
    <n v="2"/>
    <d v="2026-03-24T22:33:56"/>
  </r>
  <r>
    <s v="TRX0160"/>
    <x v="99"/>
    <s v="CUST029"/>
    <x v="23"/>
    <x v="9"/>
    <x v="9"/>
    <x v="2"/>
    <n v="4"/>
    <n v="199.99"/>
    <x v="3"/>
    <x v="0"/>
    <x v="1"/>
    <d v="2021-08-19T00:00:00"/>
    <n v="799.96"/>
    <n v="3"/>
    <d v="2026-03-24T22:33:56"/>
  </r>
  <r>
    <s v="TRX0145"/>
    <x v="100"/>
    <s v="CUST033"/>
    <x v="37"/>
    <x v="1"/>
    <x v="1"/>
    <x v="1"/>
    <n v="1"/>
    <n v="59.99"/>
    <x v="3"/>
    <x v="3"/>
    <x v="2"/>
    <d v="2021-12-30T00:00:00"/>
    <n v="59.99"/>
    <n v="2"/>
    <d v="2026-03-24T22:33:56"/>
  </r>
  <r>
    <s v="TRX0148"/>
    <x v="100"/>
    <s v="CUST004"/>
    <x v="31"/>
    <x v="5"/>
    <x v="5"/>
    <x v="0"/>
    <n v="3"/>
    <n v="699.99"/>
    <x v="2"/>
    <x v="3"/>
    <x v="2"/>
    <d v="2022-01-22T00:00:00"/>
    <n v="2099.9699999999998"/>
    <n v="2"/>
    <d v="2026-03-24T22:33:56"/>
  </r>
  <r>
    <s v="TRX0012"/>
    <x v="101"/>
    <s v="CUST045"/>
    <x v="46"/>
    <x v="0"/>
    <x v="0"/>
    <x v="0"/>
    <n v="5"/>
    <n v="249.99"/>
    <x v="1"/>
    <x v="2"/>
    <x v="0"/>
    <d v="2022-11-08T00:00:00"/>
    <n v="1249.95"/>
    <n v="2"/>
    <d v="2026-03-24T22:33:56"/>
  </r>
  <r>
    <s v="TRX0206"/>
    <x v="102"/>
    <s v="CUST014"/>
    <x v="21"/>
    <x v="2"/>
    <x v="2"/>
    <x v="2"/>
    <n v="2"/>
    <n v="149.99"/>
    <x v="0"/>
    <x v="1"/>
    <x v="2"/>
    <d v="2023-06-24T00:00:00"/>
    <n v="299.98"/>
    <n v="1"/>
    <d v="2026-03-24T22:33:56"/>
  </r>
  <r>
    <s v="TRX0045"/>
    <x v="103"/>
    <s v="CUST021"/>
    <x v="2"/>
    <x v="6"/>
    <x v="6"/>
    <x v="2"/>
    <n v="3"/>
    <n v="299.99"/>
    <x v="0"/>
    <x v="1"/>
    <x v="1"/>
    <d v="2022-04-08T00:00:00"/>
    <n v="899.97"/>
    <n v="2"/>
    <d v="2026-03-24T22:33:56"/>
  </r>
  <r>
    <s v="TRX0094"/>
    <x v="103"/>
    <s v="CUST017"/>
    <x v="6"/>
    <x v="0"/>
    <x v="0"/>
    <x v="0"/>
    <n v="5"/>
    <n v="249.99"/>
    <x v="0"/>
    <x v="0"/>
    <x v="1"/>
    <d v="2021-10-16T00:00:00"/>
    <n v="1249.95"/>
    <n v="3"/>
    <d v="2026-03-24T22:33:56"/>
  </r>
  <r>
    <s v="TRX0133"/>
    <x v="103"/>
    <s v="CUST013"/>
    <x v="1"/>
    <x v="3"/>
    <x v="3"/>
    <x v="0"/>
    <n v="2"/>
    <n v="149.99"/>
    <x v="0"/>
    <x v="1"/>
    <x v="1"/>
    <d v="2021-10-06T00:00:00"/>
    <n v="299.98"/>
    <n v="3"/>
    <d v="2026-03-24T22:33:56"/>
  </r>
  <r>
    <s v="TRX0201"/>
    <x v="103"/>
    <s v="CUST025"/>
    <x v="14"/>
    <x v="5"/>
    <x v="5"/>
    <x v="0"/>
    <n v="5"/>
    <n v="699.99"/>
    <x v="3"/>
    <x v="3"/>
    <x v="2"/>
    <d v="2023-01-18T00:00:00"/>
    <n v="3499.95"/>
    <n v="1"/>
    <d v="2026-03-24T22:33:56"/>
  </r>
  <r>
    <s v="TRX0137"/>
    <x v="104"/>
    <s v="CUST011"/>
    <x v="44"/>
    <x v="0"/>
    <x v="0"/>
    <x v="0"/>
    <n v="4"/>
    <n v="249.99"/>
    <x v="2"/>
    <x v="4"/>
    <x v="1"/>
    <d v="2023-06-21T00:00:00"/>
    <n v="999.96"/>
    <n v="1"/>
    <d v="2026-03-24T22:33:56"/>
  </r>
  <r>
    <s v="TRX0066"/>
    <x v="105"/>
    <s v="CUST024"/>
    <x v="5"/>
    <x v="5"/>
    <x v="5"/>
    <x v="0"/>
    <n v="4"/>
    <n v="699.99"/>
    <x v="1"/>
    <x v="2"/>
    <x v="1"/>
    <d v="2022-05-22T00:00:00"/>
    <n v="2799.96"/>
    <n v="2"/>
    <d v="2026-03-24T22:33:56"/>
  </r>
  <r>
    <s v="TRX0180"/>
    <x v="106"/>
    <s v="CUST036"/>
    <x v="20"/>
    <x v="0"/>
    <x v="0"/>
    <x v="0"/>
    <n v="2"/>
    <n v="249.99"/>
    <x v="1"/>
    <x v="0"/>
    <x v="1"/>
    <d v="2021-07-19T00:00:00"/>
    <n v="499.98"/>
    <n v="3"/>
    <d v="2026-03-24T22:33:56"/>
  </r>
  <r>
    <s v="TRX0082"/>
    <x v="106"/>
    <s v="CUST005"/>
    <x v="47"/>
    <x v="1"/>
    <x v="1"/>
    <x v="1"/>
    <n v="3"/>
    <n v="59.99"/>
    <x v="0"/>
    <x v="0"/>
    <x v="1"/>
    <d v="2023-05-06T00:00:00"/>
    <n v="179.97"/>
    <n v="1"/>
    <d v="2026-03-24T22:33:56"/>
  </r>
  <r>
    <s v="TRX0036"/>
    <x v="106"/>
    <s v="CUST008"/>
    <x v="27"/>
    <x v="7"/>
    <x v="7"/>
    <x v="1"/>
    <n v="4"/>
    <n v="79.989999999999995"/>
    <x v="3"/>
    <x v="4"/>
    <x v="2"/>
    <d v="2022-12-26T00:00:00"/>
    <n v="319.95999999999998"/>
    <n v="1"/>
    <d v="2026-03-24T22:33:56"/>
  </r>
  <r>
    <s v="TRX0198"/>
    <x v="107"/>
    <s v="CUST030"/>
    <x v="22"/>
    <x v="7"/>
    <x v="7"/>
    <x v="1"/>
    <n v="3"/>
    <n v="79.989999999999995"/>
    <x v="3"/>
    <x v="4"/>
    <x v="2"/>
    <d v="2022-08-06T00:00:00"/>
    <n v="239.97"/>
    <n v="2"/>
    <d v="2026-03-24T22:33:56"/>
  </r>
  <r>
    <s v="TRX0032"/>
    <x v="108"/>
    <s v="CUST041"/>
    <x v="10"/>
    <x v="4"/>
    <x v="4"/>
    <x v="0"/>
    <n v="2"/>
    <n v="899.99"/>
    <x v="0"/>
    <x v="2"/>
    <x v="0"/>
    <d v="2021-07-29T00:00:00"/>
    <n v="1799.98"/>
    <n v="3"/>
    <d v="2026-03-24T22:33:56"/>
  </r>
  <r>
    <s v="TRX0081"/>
    <x v="109"/>
    <s v="CUST007"/>
    <x v="35"/>
    <x v="2"/>
    <x v="2"/>
    <x v="2"/>
    <n v="1"/>
    <n v="149.99"/>
    <x v="3"/>
    <x v="4"/>
    <x v="2"/>
    <d v="2023-10-01T00:00:00"/>
    <n v="149.99"/>
    <n v="1"/>
    <d v="2026-03-24T22:33:56"/>
  </r>
  <r>
    <s v="TRX0224"/>
    <x v="109"/>
    <s v="CUST031"/>
    <x v="26"/>
    <x v="6"/>
    <x v="6"/>
    <x v="2"/>
    <n v="2"/>
    <n v="299.99"/>
    <x v="0"/>
    <x v="4"/>
    <x v="1"/>
    <d v="2022-06-12T00:00:00"/>
    <n v="599.98"/>
    <n v="2"/>
    <d v="2026-03-24T22:33:56"/>
  </r>
  <r>
    <s v="TRX0028"/>
    <x v="110"/>
    <s v="CUST002"/>
    <x v="25"/>
    <x v="1"/>
    <x v="1"/>
    <x v="1"/>
    <n v="2"/>
    <n v="59.99"/>
    <x v="0"/>
    <x v="3"/>
    <x v="0"/>
    <d v="2023-09-22T00:00:00"/>
    <n v="119.98"/>
    <n v="1"/>
    <d v="2026-03-24T22:33:56"/>
  </r>
  <r>
    <s v="TRX0183"/>
    <x v="111"/>
    <s v="CUST007"/>
    <x v="35"/>
    <x v="8"/>
    <x v="8"/>
    <x v="0"/>
    <n v="1"/>
    <n v="89.99"/>
    <x v="3"/>
    <x v="0"/>
    <x v="2"/>
    <d v="2022-07-18T00:00:00"/>
    <n v="89.99"/>
    <n v="2"/>
    <d v="2026-03-24T22:33:56"/>
  </r>
  <r>
    <s v="TRX0163"/>
    <x v="111"/>
    <s v="CUST019"/>
    <x v="29"/>
    <x v="4"/>
    <x v="4"/>
    <x v="0"/>
    <n v="5"/>
    <n v="899.99"/>
    <x v="3"/>
    <x v="4"/>
    <x v="2"/>
    <d v="2022-03-05T00:00:00"/>
    <n v="4499.95"/>
    <n v="2"/>
    <d v="2026-03-24T22:33:56"/>
  </r>
  <r>
    <s v="TRX0046"/>
    <x v="112"/>
    <s v="CUST003"/>
    <x v="4"/>
    <x v="2"/>
    <x v="2"/>
    <x v="2"/>
    <n v="2"/>
    <n v="149.99"/>
    <x v="0"/>
    <x v="1"/>
    <x v="0"/>
    <d v="2023-11-09T00:00:00"/>
    <n v="299.98"/>
    <n v="1"/>
    <d v="2026-03-24T22:33:56"/>
  </r>
  <r>
    <s v="TRX0164"/>
    <x v="113"/>
    <s v="CUST014"/>
    <x v="21"/>
    <x v="3"/>
    <x v="3"/>
    <x v="0"/>
    <n v="2"/>
    <n v="149.99"/>
    <x v="3"/>
    <x v="3"/>
    <x v="1"/>
    <d v="2023-12-20T00:00:00"/>
    <n v="299.98"/>
    <n v="1"/>
    <d v="2026-03-24T22:33:56"/>
  </r>
  <r>
    <s v="TRX0008"/>
    <x v="113"/>
    <s v="CUST007"/>
    <x v="35"/>
    <x v="2"/>
    <x v="2"/>
    <x v="2"/>
    <n v="3"/>
    <n v="149.99"/>
    <x v="3"/>
    <x v="2"/>
    <x v="2"/>
    <d v="2021-11-22T00:00:00"/>
    <n v="449.97"/>
    <n v="3"/>
    <d v="2026-03-24T22:33:56"/>
  </r>
  <r>
    <s v="TRX0171"/>
    <x v="114"/>
    <s v="CUST021"/>
    <x v="2"/>
    <x v="6"/>
    <x v="6"/>
    <x v="2"/>
    <n v="2"/>
    <n v="299.99"/>
    <x v="2"/>
    <x v="1"/>
    <x v="0"/>
    <d v="2022-06-09T00:00:00"/>
    <n v="599.98"/>
    <n v="2"/>
    <d v="2026-03-24T22:33:56"/>
  </r>
  <r>
    <s v="TRX0143"/>
    <x v="115"/>
    <s v="CUST003"/>
    <x v="4"/>
    <x v="6"/>
    <x v="6"/>
    <x v="2"/>
    <n v="2"/>
    <n v="299.99"/>
    <x v="0"/>
    <x v="3"/>
    <x v="0"/>
    <d v="2022-07-29T00:00:00"/>
    <n v="599.98"/>
    <n v="2"/>
    <d v="2026-03-24T22:33:56"/>
  </r>
  <r>
    <s v="TRX0165"/>
    <x v="115"/>
    <s v="CUST030"/>
    <x v="22"/>
    <x v="9"/>
    <x v="9"/>
    <x v="2"/>
    <n v="4"/>
    <n v="199.99"/>
    <x v="1"/>
    <x v="0"/>
    <x v="0"/>
    <d v="2021-11-23T00:00:00"/>
    <n v="799.96"/>
    <n v="3"/>
    <d v="2026-03-24T22:33:56"/>
  </r>
  <r>
    <s v="TRX0156"/>
    <x v="116"/>
    <s v="CUST009"/>
    <x v="7"/>
    <x v="8"/>
    <x v="8"/>
    <x v="0"/>
    <n v="1"/>
    <n v="89.99"/>
    <x v="1"/>
    <x v="1"/>
    <x v="1"/>
    <d v="2022-01-30T00:00:00"/>
    <n v="89.99"/>
    <n v="2"/>
    <d v="2026-03-24T22:33:56"/>
  </r>
  <r>
    <s v="TRX0147"/>
    <x v="116"/>
    <s v="CUST036"/>
    <x v="20"/>
    <x v="2"/>
    <x v="2"/>
    <x v="2"/>
    <n v="5"/>
    <n v="149.99"/>
    <x v="0"/>
    <x v="0"/>
    <x v="1"/>
    <d v="2024-02-25T00:00:00"/>
    <n v="749.95"/>
    <n v="0"/>
    <d v="2026-03-24T22:33:56"/>
  </r>
  <r>
    <s v="TRX0207"/>
    <x v="117"/>
    <s v="CUST025"/>
    <x v="14"/>
    <x v="4"/>
    <x v="4"/>
    <x v="0"/>
    <n v="1"/>
    <n v="899.99"/>
    <x v="2"/>
    <x v="2"/>
    <x v="1"/>
    <d v="2023-05-04T00:00:00"/>
    <n v="899.99"/>
    <n v="1"/>
    <d v="2026-03-24T22:33:56"/>
  </r>
  <r>
    <s v="TRX0056"/>
    <x v="118"/>
    <s v="CUST019"/>
    <x v="29"/>
    <x v="8"/>
    <x v="8"/>
    <x v="0"/>
    <n v="2"/>
    <n v="89.99"/>
    <x v="1"/>
    <x v="1"/>
    <x v="1"/>
    <d v="2022-01-03T00:00:00"/>
    <n v="179.98"/>
    <n v="3"/>
    <d v="2026-03-24T22:33:56"/>
  </r>
  <r>
    <s v="TRX0026"/>
    <x v="119"/>
    <s v="CUST037"/>
    <x v="48"/>
    <x v="4"/>
    <x v="4"/>
    <x v="0"/>
    <n v="1"/>
    <n v="899.99"/>
    <x v="2"/>
    <x v="2"/>
    <x v="2"/>
    <d v="2022-07-10T00:00:00"/>
    <n v="899.99"/>
    <n v="2"/>
    <d v="2026-03-24T22:33:56"/>
  </r>
  <r>
    <s v="TRX0237"/>
    <x v="120"/>
    <s v="CUST006"/>
    <x v="24"/>
    <x v="3"/>
    <x v="3"/>
    <x v="0"/>
    <n v="5"/>
    <n v="149.99"/>
    <x v="2"/>
    <x v="4"/>
    <x v="1"/>
    <d v="2022-09-20T00:00:00"/>
    <n v="749.95"/>
    <n v="2"/>
    <d v="2026-03-24T22:33:56"/>
  </r>
  <r>
    <s v="TRX0091"/>
    <x v="120"/>
    <s v="CUST003"/>
    <x v="4"/>
    <x v="6"/>
    <x v="6"/>
    <x v="2"/>
    <n v="3"/>
    <n v="299.99"/>
    <x v="0"/>
    <x v="1"/>
    <x v="2"/>
    <d v="2021-08-14T00:00:00"/>
    <n v="899.97"/>
    <n v="3"/>
    <d v="2026-03-24T22:33:56"/>
  </r>
  <r>
    <s v="TRX0125"/>
    <x v="121"/>
    <s v="CUST026"/>
    <x v="8"/>
    <x v="5"/>
    <x v="5"/>
    <x v="0"/>
    <n v="3"/>
    <n v="699.99"/>
    <x v="1"/>
    <x v="0"/>
    <x v="1"/>
    <d v="2023-06-28T00:00:00"/>
    <n v="2099.9699999999998"/>
    <n v="1"/>
    <d v="2026-03-24T22:33:56"/>
  </r>
  <r>
    <s v="TRX0223"/>
    <x v="122"/>
    <s v="CUST036"/>
    <x v="20"/>
    <x v="9"/>
    <x v="9"/>
    <x v="2"/>
    <n v="5"/>
    <n v="199.99"/>
    <x v="2"/>
    <x v="0"/>
    <x v="2"/>
    <d v="2022-03-13T00:00:00"/>
    <n v="999.95"/>
    <n v="2"/>
    <d v="2026-03-24T22:33:56"/>
  </r>
  <r>
    <s v="TRX0243"/>
    <x v="122"/>
    <s v="CUST048"/>
    <x v="16"/>
    <x v="0"/>
    <x v="0"/>
    <x v="0"/>
    <n v="5"/>
    <n v="249.99"/>
    <x v="1"/>
    <x v="1"/>
    <x v="0"/>
    <d v="2024-02-08T00:00:00"/>
    <n v="1249.95"/>
    <n v="0"/>
    <d v="2026-03-24T22:33:56"/>
  </r>
  <r>
    <s v="TRX0084"/>
    <x v="123"/>
    <s v="CUST031"/>
    <x v="26"/>
    <x v="3"/>
    <x v="3"/>
    <x v="0"/>
    <n v="4"/>
    <n v="149.99"/>
    <x v="3"/>
    <x v="4"/>
    <x v="2"/>
    <d v="2021-12-06T00:00:00"/>
    <n v="599.96"/>
    <n v="3"/>
    <d v="2026-03-24T22:33:56"/>
  </r>
  <r>
    <s v="TRX0238"/>
    <x v="123"/>
    <s v="CUST038"/>
    <x v="12"/>
    <x v="5"/>
    <x v="5"/>
    <x v="0"/>
    <n v="3"/>
    <n v="699.99"/>
    <x v="0"/>
    <x v="2"/>
    <x v="1"/>
    <d v="2022-02-10T00:00:00"/>
    <n v="2099.9699999999998"/>
    <n v="2"/>
    <d v="2026-03-24T22:33:56"/>
  </r>
  <r>
    <s v="TRX0102"/>
    <x v="124"/>
    <s v="CUST045"/>
    <x v="46"/>
    <x v="7"/>
    <x v="7"/>
    <x v="1"/>
    <n v="1"/>
    <n v="79.989999999999995"/>
    <x v="1"/>
    <x v="1"/>
    <x v="0"/>
    <d v="2024-01-31T00:00:00"/>
    <n v="79.989999999999995"/>
    <n v="0"/>
    <d v="2026-03-24T22:33:56"/>
  </r>
  <r>
    <s v="TRX0022"/>
    <x v="124"/>
    <s v="CUST025"/>
    <x v="14"/>
    <x v="6"/>
    <x v="6"/>
    <x v="2"/>
    <n v="1"/>
    <n v="299.99"/>
    <x v="1"/>
    <x v="2"/>
    <x v="0"/>
    <d v="2021-08-28T00:00:00"/>
    <n v="299.99"/>
    <n v="3"/>
    <d v="2026-03-24T22:33:56"/>
  </r>
  <r>
    <s v="TRX0087"/>
    <x v="125"/>
    <s v="CUST028"/>
    <x v="32"/>
    <x v="0"/>
    <x v="0"/>
    <x v="0"/>
    <n v="4"/>
    <n v="249.99"/>
    <x v="1"/>
    <x v="2"/>
    <x v="1"/>
    <d v="2021-09-21T00:00:00"/>
    <n v="999.96"/>
    <n v="3"/>
    <d v="2026-03-24T22:33:56"/>
  </r>
  <r>
    <s v="TRX0107"/>
    <x v="125"/>
    <s v="CUST030"/>
    <x v="22"/>
    <x v="3"/>
    <x v="3"/>
    <x v="0"/>
    <n v="2"/>
    <n v="149.99"/>
    <x v="0"/>
    <x v="2"/>
    <x v="2"/>
    <d v="2022-12-18T00:00:00"/>
    <n v="299.98"/>
    <n v="2"/>
    <d v="2026-03-24T22:33:56"/>
  </r>
  <r>
    <s v="TRX0051"/>
    <x v="125"/>
    <s v="CUST032"/>
    <x v="42"/>
    <x v="6"/>
    <x v="6"/>
    <x v="2"/>
    <n v="3"/>
    <n v="299.99"/>
    <x v="1"/>
    <x v="1"/>
    <x v="0"/>
    <d v="2023-10-05T00:00:00"/>
    <n v="899.97"/>
    <n v="1"/>
    <d v="2026-03-24T22:33:56"/>
  </r>
  <r>
    <s v="TRX0106"/>
    <x v="126"/>
    <s v="CUST039"/>
    <x v="40"/>
    <x v="9"/>
    <x v="9"/>
    <x v="2"/>
    <n v="4"/>
    <n v="199.99"/>
    <x v="3"/>
    <x v="1"/>
    <x v="2"/>
    <d v="2021-12-14T00:00:00"/>
    <n v="799.96"/>
    <n v="3"/>
    <d v="2026-03-24T22:33:56"/>
  </r>
  <r>
    <s v="TRX0059"/>
    <x v="126"/>
    <s v="CUST016"/>
    <x v="39"/>
    <x v="6"/>
    <x v="6"/>
    <x v="2"/>
    <n v="5"/>
    <n v="299.99"/>
    <x v="3"/>
    <x v="0"/>
    <x v="0"/>
    <d v="2021-08-23T00:00:00"/>
    <n v="1499.95"/>
    <n v="3"/>
    <d v="2026-03-24T22:33:56"/>
  </r>
  <r>
    <s v="TRX0072"/>
    <x v="126"/>
    <s v="CUST009"/>
    <x v="7"/>
    <x v="2"/>
    <x v="2"/>
    <x v="2"/>
    <n v="3"/>
    <n v="149.99"/>
    <x v="1"/>
    <x v="4"/>
    <x v="2"/>
    <d v="2021-07-18T00:00:00"/>
    <n v="449.97"/>
    <n v="3"/>
    <d v="2026-03-24T22:33:56"/>
  </r>
  <r>
    <s v="TRX0110"/>
    <x v="127"/>
    <s v="CUST006"/>
    <x v="24"/>
    <x v="1"/>
    <x v="1"/>
    <x v="1"/>
    <n v="5"/>
    <n v="59.99"/>
    <x v="3"/>
    <x v="4"/>
    <x v="0"/>
    <d v="2022-03-22T00:00:00"/>
    <n v="299.95"/>
    <n v="2"/>
    <d v="2026-03-24T22:33:56"/>
  </r>
  <r>
    <s v="TRX0126"/>
    <x v="128"/>
    <s v="CUST022"/>
    <x v="9"/>
    <x v="1"/>
    <x v="1"/>
    <x v="1"/>
    <n v="4"/>
    <n v="59.99"/>
    <x v="3"/>
    <x v="4"/>
    <x v="2"/>
    <d v="2022-01-03T00:00:00"/>
    <n v="239.96"/>
    <n v="3"/>
    <d v="2026-03-24T22:33:56"/>
  </r>
  <r>
    <s v="TRX0159"/>
    <x v="129"/>
    <s v="CUST024"/>
    <x v="5"/>
    <x v="0"/>
    <x v="0"/>
    <x v="0"/>
    <n v="4"/>
    <n v="249.99"/>
    <x v="3"/>
    <x v="0"/>
    <x v="1"/>
    <d v="2023-10-18T00:00:00"/>
    <n v="999.96"/>
    <n v="1"/>
    <d v="2026-03-24T22:33:56"/>
  </r>
  <r>
    <s v="TRX0030"/>
    <x v="130"/>
    <s v="CUST011"/>
    <x v="44"/>
    <x v="4"/>
    <x v="4"/>
    <x v="0"/>
    <n v="4"/>
    <n v="899.99"/>
    <x v="2"/>
    <x v="0"/>
    <x v="0"/>
    <d v="2022-06-22T00:00:00"/>
    <n v="3599.96"/>
    <n v="2"/>
    <d v="2026-03-24T22:33:56"/>
  </r>
  <r>
    <s v="TRX0178"/>
    <x v="130"/>
    <s v="CUST025"/>
    <x v="14"/>
    <x v="6"/>
    <x v="6"/>
    <x v="2"/>
    <n v="3"/>
    <n v="299.99"/>
    <x v="3"/>
    <x v="3"/>
    <x v="2"/>
    <d v="2023-01-26T00:00:00"/>
    <n v="899.97"/>
    <n v="2"/>
    <d v="2026-03-24T22:33:56"/>
  </r>
  <r>
    <s v="TRX0188"/>
    <x v="130"/>
    <s v="CUST045"/>
    <x v="46"/>
    <x v="5"/>
    <x v="5"/>
    <x v="0"/>
    <n v="2"/>
    <n v="699.99"/>
    <x v="3"/>
    <x v="0"/>
    <x v="1"/>
    <d v="2022-04-30T00:00:00"/>
    <n v="1399.98"/>
    <n v="2"/>
    <d v="2026-03-24T22:33:56"/>
  </r>
  <r>
    <s v="TRX0010"/>
    <x v="131"/>
    <s v="CUST026"/>
    <x v="8"/>
    <x v="5"/>
    <x v="5"/>
    <x v="0"/>
    <n v="4"/>
    <n v="699.99"/>
    <x v="3"/>
    <x v="3"/>
    <x v="1"/>
    <d v="2022-05-11T00:00:00"/>
    <n v="2799.96"/>
    <n v="2"/>
    <d v="2026-03-24T22:33:56"/>
  </r>
  <r>
    <s v="TRX0069"/>
    <x v="131"/>
    <s v="CUST029"/>
    <x v="23"/>
    <x v="8"/>
    <x v="8"/>
    <x v="0"/>
    <n v="2"/>
    <n v="89.99"/>
    <x v="3"/>
    <x v="1"/>
    <x v="0"/>
    <d v="2022-08-04T00:00:00"/>
    <n v="179.98"/>
    <n v="2"/>
    <d v="2026-03-24T22:33:56"/>
  </r>
  <r>
    <s v="TRX0166"/>
    <x v="131"/>
    <s v="CUST003"/>
    <x v="4"/>
    <x v="8"/>
    <x v="8"/>
    <x v="0"/>
    <n v="3"/>
    <n v="89.99"/>
    <x v="3"/>
    <x v="1"/>
    <x v="1"/>
    <d v="2024-01-16T00:00:00"/>
    <n v="269.97000000000003"/>
    <n v="1"/>
    <d v="2026-03-24T22:33:56"/>
  </r>
  <r>
    <s v="TRX0219"/>
    <x v="132"/>
    <s v="CUST037"/>
    <x v="48"/>
    <x v="1"/>
    <x v="1"/>
    <x v="1"/>
    <n v="1"/>
    <n v="59.99"/>
    <x v="3"/>
    <x v="0"/>
    <x v="2"/>
    <d v="2023-04-29T00:00:00"/>
    <n v="59.99"/>
    <n v="1"/>
    <d v="2026-03-24T22:33:56"/>
  </r>
  <r>
    <s v="TRX0024"/>
    <x v="133"/>
    <s v="CUST042"/>
    <x v="43"/>
    <x v="2"/>
    <x v="2"/>
    <x v="2"/>
    <n v="3"/>
    <n v="149.99"/>
    <x v="3"/>
    <x v="2"/>
    <x v="1"/>
    <d v="2022-01-03T00:00:00"/>
    <n v="449.97"/>
    <n v="3"/>
    <d v="2026-03-24T22:33:56"/>
  </r>
  <r>
    <s v="TRX0105"/>
    <x v="133"/>
    <s v="CUST048"/>
    <x v="16"/>
    <x v="6"/>
    <x v="6"/>
    <x v="2"/>
    <n v="5"/>
    <n v="299.99"/>
    <x v="1"/>
    <x v="1"/>
    <x v="0"/>
    <d v="2023-02-02T00:00:00"/>
    <n v="1499.95"/>
    <n v="2"/>
    <d v="2026-03-24T22:33:56"/>
  </r>
  <r>
    <s v="TRX0011"/>
    <x v="134"/>
    <s v="CUST040"/>
    <x v="30"/>
    <x v="1"/>
    <x v="1"/>
    <x v="1"/>
    <n v="5"/>
    <n v="59.99"/>
    <x v="3"/>
    <x v="0"/>
    <x v="2"/>
    <d v="2023-09-08T00:00:00"/>
    <n v="299.95"/>
    <n v="1"/>
    <d v="2026-03-24T22:33:56"/>
  </r>
  <r>
    <s v="TRX0187"/>
    <x v="135"/>
    <s v="CUST036"/>
    <x v="20"/>
    <x v="7"/>
    <x v="7"/>
    <x v="1"/>
    <n v="3"/>
    <n v="79.989999999999995"/>
    <x v="0"/>
    <x v="4"/>
    <x v="1"/>
    <d v="2021-08-28T00:00:00"/>
    <n v="239.97"/>
    <n v="3"/>
    <d v="2026-03-24T22:33:56"/>
  </r>
  <r>
    <s v="TRX0089"/>
    <x v="136"/>
    <s v="CUST021"/>
    <x v="2"/>
    <x v="9"/>
    <x v="9"/>
    <x v="2"/>
    <n v="3"/>
    <n v="199.99"/>
    <x v="0"/>
    <x v="0"/>
    <x v="0"/>
    <d v="2022-06-23T00:00:00"/>
    <n v="599.97"/>
    <n v="2"/>
    <d v="2026-03-24T22:33:56"/>
  </r>
  <r>
    <s v="TRX0196"/>
    <x v="136"/>
    <s v="CUST023"/>
    <x v="0"/>
    <x v="8"/>
    <x v="8"/>
    <x v="0"/>
    <n v="2"/>
    <n v="89.99"/>
    <x v="2"/>
    <x v="0"/>
    <x v="0"/>
    <d v="2023-11-27T00:00:00"/>
    <n v="179.98"/>
    <n v="1"/>
    <d v="2026-03-24T22:33:56"/>
  </r>
  <r>
    <s v="TRX0118"/>
    <x v="137"/>
    <s v="CUST015"/>
    <x v="45"/>
    <x v="2"/>
    <x v="2"/>
    <x v="2"/>
    <n v="2"/>
    <n v="149.99"/>
    <x v="0"/>
    <x v="1"/>
    <x v="1"/>
    <d v="2022-06-16T00:00:00"/>
    <n v="299.98"/>
    <n v="2"/>
    <d v="2026-03-24T22:33:56"/>
  </r>
  <r>
    <s v="TRX0179"/>
    <x v="138"/>
    <s v="CUST029"/>
    <x v="23"/>
    <x v="5"/>
    <x v="5"/>
    <x v="0"/>
    <n v="5"/>
    <n v="699.99"/>
    <x v="2"/>
    <x v="1"/>
    <x v="1"/>
    <d v="2024-03-01T00:00:00"/>
    <n v="3499.95"/>
    <n v="0"/>
    <d v="2026-03-24T22:33:56"/>
  </r>
  <r>
    <s v="TRX0168"/>
    <x v="138"/>
    <s v="CUST003"/>
    <x v="4"/>
    <x v="2"/>
    <x v="2"/>
    <x v="2"/>
    <n v="3"/>
    <n v="149.99"/>
    <x v="2"/>
    <x v="0"/>
    <x v="2"/>
    <d v="2022-03-13T00:00:00"/>
    <n v="449.97"/>
    <n v="2"/>
    <d v="2026-03-24T22:33:56"/>
  </r>
  <r>
    <s v="TRX0214"/>
    <x v="139"/>
    <s v="CUST018"/>
    <x v="17"/>
    <x v="4"/>
    <x v="4"/>
    <x v="0"/>
    <n v="3"/>
    <n v="899.99"/>
    <x v="0"/>
    <x v="4"/>
    <x v="2"/>
    <d v="2022-02-21T00:00:00"/>
    <n v="2699.97"/>
    <n v="2"/>
    <d v="2026-03-24T22:33:56"/>
  </r>
  <r>
    <s v="TRX0221"/>
    <x v="139"/>
    <s v="CUST033"/>
    <x v="37"/>
    <x v="9"/>
    <x v="9"/>
    <x v="2"/>
    <n v="3"/>
    <n v="199.99"/>
    <x v="0"/>
    <x v="3"/>
    <x v="1"/>
    <d v="2022-09-19T00:00:00"/>
    <n v="599.97"/>
    <n v="2"/>
    <d v="2026-03-24T22:33:56"/>
  </r>
  <r>
    <s v="TRX0083"/>
    <x v="140"/>
    <s v="CUST017"/>
    <x v="6"/>
    <x v="6"/>
    <x v="6"/>
    <x v="2"/>
    <n v="5"/>
    <n v="299.99"/>
    <x v="0"/>
    <x v="3"/>
    <x v="2"/>
    <d v="2023-08-04T00:00:00"/>
    <n v="1499.95"/>
    <n v="1"/>
    <d v="2026-03-24T22:33:56"/>
  </r>
  <r>
    <s v="TRX0151"/>
    <x v="140"/>
    <s v="CUST040"/>
    <x v="30"/>
    <x v="5"/>
    <x v="5"/>
    <x v="0"/>
    <n v="1"/>
    <n v="699.99"/>
    <x v="2"/>
    <x v="3"/>
    <x v="0"/>
    <d v="2023-01-08T00:00:00"/>
    <n v="699.99"/>
    <n v="2"/>
    <d v="2026-03-24T22:33:56"/>
  </r>
  <r>
    <s v="TRX0047"/>
    <x v="141"/>
    <s v="CUST042"/>
    <x v="43"/>
    <x v="5"/>
    <x v="5"/>
    <x v="0"/>
    <n v="1"/>
    <n v="699.99"/>
    <x v="0"/>
    <x v="2"/>
    <x v="1"/>
    <d v="2022-01-22T00:00:00"/>
    <n v="699.99"/>
    <n v="3"/>
    <d v="2026-03-24T22:33:56"/>
  </r>
  <r>
    <s v="TRX0200"/>
    <x v="141"/>
    <s v="CUST037"/>
    <x v="48"/>
    <x v="2"/>
    <x v="2"/>
    <x v="2"/>
    <n v="4"/>
    <n v="149.99"/>
    <x v="2"/>
    <x v="2"/>
    <x v="1"/>
    <d v="2021-08-04T00:00:00"/>
    <n v="599.96"/>
    <n v="3"/>
    <d v="2026-03-24T22:33:56"/>
  </r>
  <r>
    <s v="TRX0062"/>
    <x v="141"/>
    <s v="CUST016"/>
    <x v="39"/>
    <x v="8"/>
    <x v="8"/>
    <x v="0"/>
    <n v="5"/>
    <n v="89.99"/>
    <x v="2"/>
    <x v="3"/>
    <x v="1"/>
    <d v="2023-08-02T00:00:00"/>
    <n v="449.95"/>
    <n v="1"/>
    <d v="2026-03-24T22:33:56"/>
  </r>
  <r>
    <s v="TRX0182"/>
    <x v="142"/>
    <s v="CUST031"/>
    <x v="26"/>
    <x v="9"/>
    <x v="9"/>
    <x v="2"/>
    <n v="2"/>
    <n v="199.99"/>
    <x v="0"/>
    <x v="0"/>
    <x v="1"/>
    <d v="2022-01-12T00:00:00"/>
    <n v="399.98"/>
    <n v="3"/>
    <d v="2026-03-24T22:33:56"/>
  </r>
  <r>
    <s v="TRX0229"/>
    <x v="143"/>
    <s v="CUST015"/>
    <x v="45"/>
    <x v="1"/>
    <x v="1"/>
    <x v="1"/>
    <n v="4"/>
    <n v="59.99"/>
    <x v="0"/>
    <x v="3"/>
    <x v="2"/>
    <d v="2023-05-24T00:00:00"/>
    <n v="239.96"/>
    <n v="1"/>
    <d v="2026-03-24T22:33:56"/>
  </r>
  <r>
    <s v="TRX0048"/>
    <x v="143"/>
    <s v="CUST048"/>
    <x v="16"/>
    <x v="6"/>
    <x v="6"/>
    <x v="2"/>
    <n v="2"/>
    <n v="299.99"/>
    <x v="2"/>
    <x v="1"/>
    <x v="0"/>
    <d v="2022-01-15T00:00:00"/>
    <n v="599.98"/>
    <n v="3"/>
    <d v="2026-03-24T22:33:56"/>
  </r>
  <r>
    <s v="TRX0227"/>
    <x v="144"/>
    <s v="CUST017"/>
    <x v="6"/>
    <x v="2"/>
    <x v="2"/>
    <x v="2"/>
    <n v="2"/>
    <n v="149.99"/>
    <x v="0"/>
    <x v="0"/>
    <x v="0"/>
    <d v="2023-05-22T00:00:00"/>
    <n v="299.98"/>
    <n v="1"/>
    <d v="2026-03-24T22:33:56"/>
  </r>
  <r>
    <s v="TRX0226"/>
    <x v="145"/>
    <s v="CUST039"/>
    <x v="40"/>
    <x v="5"/>
    <x v="5"/>
    <x v="0"/>
    <n v="5"/>
    <n v="699.99"/>
    <x v="3"/>
    <x v="4"/>
    <x v="1"/>
    <d v="2023-08-23T00:00:00"/>
    <n v="3499.95"/>
    <n v="1"/>
    <d v="2026-03-24T22:33:56"/>
  </r>
  <r>
    <s v="TRX0053"/>
    <x v="146"/>
    <s v="CUST043"/>
    <x v="11"/>
    <x v="1"/>
    <x v="1"/>
    <x v="1"/>
    <n v="5"/>
    <n v="59.99"/>
    <x v="0"/>
    <x v="3"/>
    <x v="1"/>
    <d v="2023-12-31T00:00:00"/>
    <n v="299.95"/>
    <n v="1"/>
    <d v="2026-03-24T22:33:56"/>
  </r>
  <r>
    <s v="TRX0233"/>
    <x v="147"/>
    <s v="CUST023"/>
    <x v="0"/>
    <x v="8"/>
    <x v="8"/>
    <x v="0"/>
    <n v="2"/>
    <n v="89.99"/>
    <x v="1"/>
    <x v="3"/>
    <x v="1"/>
    <d v="2024-01-04T00:00:00"/>
    <n v="179.98"/>
    <n v="1"/>
    <d v="2026-03-24T22:33:56"/>
  </r>
  <r>
    <s v="TRX0175"/>
    <x v="147"/>
    <s v="CUST030"/>
    <x v="22"/>
    <x v="0"/>
    <x v="0"/>
    <x v="0"/>
    <n v="5"/>
    <n v="249.99"/>
    <x v="0"/>
    <x v="4"/>
    <x v="2"/>
    <d v="2021-12-10T00:00:00"/>
    <n v="1249.95"/>
    <n v="3"/>
    <d v="2026-03-24T22:33:56"/>
  </r>
  <r>
    <s v="TRX0186"/>
    <x v="148"/>
    <s v="CUST039"/>
    <x v="40"/>
    <x v="2"/>
    <x v="2"/>
    <x v="2"/>
    <n v="2"/>
    <n v="149.99"/>
    <x v="2"/>
    <x v="0"/>
    <x v="1"/>
    <d v="2022-03-12T00:00:00"/>
    <n v="299.98"/>
    <n v="2"/>
    <d v="2026-03-24T22:33:56"/>
  </r>
  <r>
    <s v="TRX0016"/>
    <x v="148"/>
    <s v="CUST035"/>
    <x v="28"/>
    <x v="4"/>
    <x v="4"/>
    <x v="0"/>
    <n v="5"/>
    <n v="899.99"/>
    <x v="2"/>
    <x v="4"/>
    <x v="1"/>
    <d v="2024-04-07T00:00:00"/>
    <n v="4499.95"/>
    <n v="0"/>
    <d v="2026-03-24T22:33:56"/>
  </r>
  <r>
    <s v="TRX0199"/>
    <x v="148"/>
    <s v="CUST017"/>
    <x v="6"/>
    <x v="2"/>
    <x v="2"/>
    <x v="2"/>
    <n v="4"/>
    <n v="149.99"/>
    <x v="0"/>
    <x v="0"/>
    <x v="2"/>
    <d v="2023-12-03T00:00:00"/>
    <n v="599.96"/>
    <n v="1"/>
    <d v="2026-03-24T22:33:56"/>
  </r>
  <r>
    <s v="TRX0038"/>
    <x v="149"/>
    <s v="CUST035"/>
    <x v="28"/>
    <x v="0"/>
    <x v="0"/>
    <x v="0"/>
    <n v="1"/>
    <n v="249.99"/>
    <x v="0"/>
    <x v="2"/>
    <x v="2"/>
    <d v="2023-07-10T00:00:00"/>
    <n v="249.99"/>
    <n v="1"/>
    <d v="2026-03-24T22:33:56"/>
  </r>
  <r>
    <s v="TRX0014"/>
    <x v="150"/>
    <s v="CUST033"/>
    <x v="37"/>
    <x v="1"/>
    <x v="1"/>
    <x v="1"/>
    <n v="2"/>
    <n v="59.99"/>
    <x v="1"/>
    <x v="3"/>
    <x v="0"/>
    <d v="2023-09-24T00:00:00"/>
    <n v="119.98"/>
    <n v="1"/>
    <d v="2026-03-24T22:33:56"/>
  </r>
  <r>
    <s v="TRX0003"/>
    <x v="151"/>
    <s v="CUST002"/>
    <x v="25"/>
    <x v="2"/>
    <x v="2"/>
    <x v="2"/>
    <n v="2"/>
    <n v="149.99"/>
    <x v="0"/>
    <x v="3"/>
    <x v="1"/>
    <d v="2023-11-03T00:00:00"/>
    <n v="299.98"/>
    <n v="1"/>
    <d v="2026-03-24T22:33:56"/>
  </r>
  <r>
    <s v="TRX0124"/>
    <x v="151"/>
    <s v="CUST040"/>
    <x v="30"/>
    <x v="4"/>
    <x v="4"/>
    <x v="0"/>
    <n v="3"/>
    <n v="899.99"/>
    <x v="3"/>
    <x v="2"/>
    <x v="1"/>
    <d v="2022-11-11T00:00:00"/>
    <n v="2699.97"/>
    <n v="2"/>
    <d v="2026-03-24T22:33:56"/>
  </r>
  <r>
    <s v="TRX0013"/>
    <x v="151"/>
    <s v="CUST024"/>
    <x v="5"/>
    <x v="4"/>
    <x v="4"/>
    <x v="0"/>
    <n v="3"/>
    <n v="899.99"/>
    <x v="2"/>
    <x v="2"/>
    <x v="0"/>
    <d v="2023-02-18T00:00:00"/>
    <n v="2699.97"/>
    <n v="2"/>
    <d v="2026-03-24T22:33:56"/>
  </r>
  <r>
    <s v="TRX0019"/>
    <x v="152"/>
    <s v="CUST023"/>
    <x v="0"/>
    <x v="6"/>
    <x v="6"/>
    <x v="2"/>
    <n v="3"/>
    <n v="299.99"/>
    <x v="1"/>
    <x v="3"/>
    <x v="1"/>
    <d v="2023-11-04T00:00:00"/>
    <n v="899.97"/>
    <n v="1"/>
    <d v="2026-03-24T22:33:56"/>
  </r>
  <r>
    <s v="TRX0050"/>
    <x v="153"/>
    <s v="CUST001"/>
    <x v="49"/>
    <x v="2"/>
    <x v="2"/>
    <x v="2"/>
    <n v="4"/>
    <n v="149.99"/>
    <x v="2"/>
    <x v="3"/>
    <x v="2"/>
    <d v="2021-12-30T00:00:00"/>
    <n v="599.96"/>
    <n v="3"/>
    <d v="2026-03-24T22:33:56"/>
  </r>
  <r>
    <s v="TRX0152"/>
    <x v="154"/>
    <s v="CUST044"/>
    <x v="19"/>
    <x v="7"/>
    <x v="7"/>
    <x v="1"/>
    <n v="4"/>
    <n v="79.989999999999995"/>
    <x v="1"/>
    <x v="0"/>
    <x v="0"/>
    <d v="2023-12-28T00:00:00"/>
    <n v="319.95999999999998"/>
    <n v="1"/>
    <d v="2026-03-24T22:33:56"/>
  </r>
  <r>
    <s v="TRX0213"/>
    <x v="155"/>
    <s v="CUST020"/>
    <x v="36"/>
    <x v="8"/>
    <x v="8"/>
    <x v="0"/>
    <n v="5"/>
    <n v="89.99"/>
    <x v="2"/>
    <x v="1"/>
    <x v="0"/>
    <d v="2022-05-23T00:00:00"/>
    <n v="449.95"/>
    <n v="2"/>
    <d v="2026-03-24T22:33:56"/>
  </r>
  <r>
    <s v="TRX0197"/>
    <x v="156"/>
    <s v="CUST048"/>
    <x v="16"/>
    <x v="2"/>
    <x v="2"/>
    <x v="2"/>
    <n v="3"/>
    <n v="149.99"/>
    <x v="2"/>
    <x v="0"/>
    <x v="2"/>
    <d v="2023-09-02T00:00:00"/>
    <n v="449.97"/>
    <n v="1"/>
    <d v="2026-03-24T22:33:56"/>
  </r>
  <r>
    <s v="TRX0250"/>
    <x v="156"/>
    <s v="CUST026"/>
    <x v="8"/>
    <x v="8"/>
    <x v="8"/>
    <x v="0"/>
    <n v="2"/>
    <n v="89.99"/>
    <x v="3"/>
    <x v="3"/>
    <x v="1"/>
    <d v="2021-11-22T00:00:00"/>
    <n v="179.98"/>
    <n v="3"/>
    <d v="2026-03-24T22:33:56"/>
  </r>
  <r>
    <s v="TRX0068"/>
    <x v="157"/>
    <s v="CUST044"/>
    <x v="19"/>
    <x v="5"/>
    <x v="5"/>
    <x v="0"/>
    <n v="2"/>
    <n v="699.99"/>
    <x v="2"/>
    <x v="2"/>
    <x v="2"/>
    <d v="2022-02-26T00:00:00"/>
    <n v="1399.98"/>
    <n v="3"/>
    <d v="2026-03-24T22:33:56"/>
  </r>
  <r>
    <s v="TRX0144"/>
    <x v="158"/>
    <s v="CUST029"/>
    <x v="23"/>
    <x v="4"/>
    <x v="4"/>
    <x v="0"/>
    <n v="3"/>
    <n v="899.99"/>
    <x v="0"/>
    <x v="0"/>
    <x v="2"/>
    <d v="2023-01-27T00:00:00"/>
    <n v="2699.97"/>
    <n v="2"/>
    <d v="2026-03-24T22:34:59"/>
  </r>
  <r>
    <s v="TRX0039"/>
    <x v="159"/>
    <s v="CUST048"/>
    <x v="16"/>
    <x v="7"/>
    <x v="7"/>
    <x v="1"/>
    <n v="3"/>
    <n v="79.989999999999995"/>
    <x v="1"/>
    <x v="2"/>
    <x v="0"/>
    <d v="2021-11-11T00:00:00"/>
    <n v="239.97"/>
    <n v="3"/>
    <d v="2026-03-24T22:33:56"/>
  </r>
  <r>
    <s v="TRX0116"/>
    <x v="160"/>
    <s v="CUST009"/>
    <x v="7"/>
    <x v="8"/>
    <x v="8"/>
    <x v="0"/>
    <n v="1"/>
    <n v="89.99"/>
    <x v="3"/>
    <x v="4"/>
    <x v="0"/>
    <d v="2024-02-24T00:00:00"/>
    <n v="89.99"/>
    <n v="1"/>
    <d v="2026-03-24T22:33:56"/>
  </r>
  <r>
    <s v="TRX0120"/>
    <x v="161"/>
    <s v="CUST045"/>
    <x v="46"/>
    <x v="5"/>
    <x v="5"/>
    <x v="0"/>
    <n v="3"/>
    <n v="699.99"/>
    <x v="2"/>
    <x v="2"/>
    <x v="0"/>
    <d v="2022-12-14T00:00:00"/>
    <n v="2099.9699999999998"/>
    <n v="2"/>
    <d v="2026-03-24T22:33:56"/>
  </r>
  <r>
    <s v="TRX0103"/>
    <x v="161"/>
    <s v="CUST039"/>
    <x v="40"/>
    <x v="8"/>
    <x v="8"/>
    <x v="0"/>
    <n v="2"/>
    <n v="89.99"/>
    <x v="3"/>
    <x v="4"/>
    <x v="0"/>
    <d v="2023-06-11T00:00:00"/>
    <n v="179.98"/>
    <n v="1"/>
    <d v="2026-03-24T22:33:56"/>
  </r>
  <r>
    <s v="TRX0064"/>
    <x v="161"/>
    <s v="CUST031"/>
    <x v="26"/>
    <x v="8"/>
    <x v="8"/>
    <x v="0"/>
    <n v="3"/>
    <n v="89.99"/>
    <x v="3"/>
    <x v="2"/>
    <x v="1"/>
    <d v="2022-11-13T00:00:00"/>
    <n v="269.97000000000003"/>
    <n v="2"/>
    <d v="2026-03-24T22:33: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d v="2024-04-11T00:00:00"/>
    <s v="CUST023"/>
    <x v="0"/>
    <s v="P009"/>
    <s v="Monitor"/>
    <s v="Electronics"/>
    <n v="3"/>
    <n v="249.99"/>
    <s v="Cash"/>
    <s v="Central"/>
    <s v="Basic"/>
    <d v="2021-08-17T00:00:00"/>
    <n v="749.97"/>
    <d v="1900-01-01T00:00:00"/>
    <d v="2026-03-24T22:33:56"/>
  </r>
  <r>
    <d v="2024-04-14T00:00:00"/>
    <s v="CUST013"/>
    <x v="1"/>
    <s v="P009"/>
    <s v="Monitor"/>
    <s v="Electronics"/>
    <n v="3"/>
    <n v="249.99"/>
    <s v="Credit Card"/>
    <s v="Central"/>
    <s v="Premium"/>
    <d v="2022-01-14T00:00:00"/>
    <n v="749.97"/>
    <n v="2"/>
    <d v="2026-03-24T22:33:56"/>
  </r>
  <r>
    <d v="2024-04-17T00:00:00"/>
    <s v="CUST021"/>
    <x v="2"/>
    <s v="P005"/>
    <s v="Blender"/>
    <s v="Appliances"/>
    <n v="3"/>
    <n v="59.99"/>
    <s v="PayPal"/>
    <s v="South"/>
    <s v="Standard"/>
    <d v="2023-12-02T00:00:00"/>
    <n v="179.97"/>
    <n v="0"/>
    <d v="2026-03-24T22:33:56"/>
  </r>
  <r>
    <d v="2024-04-18T00:00:00"/>
    <s v="CUST046"/>
    <x v="3"/>
    <s v="P005"/>
    <s v="Blender"/>
    <s v="Appliances"/>
    <n v="3"/>
    <n v="59.99"/>
    <s v="Cash"/>
    <s v="North"/>
    <s v="Premium"/>
    <d v="2023-07-07T00:00:00"/>
    <n v="179.97"/>
    <n v="0"/>
    <d v="2026-03-24T22:33:56"/>
  </r>
  <r>
    <d v="2024-04-18T00:00:00"/>
    <s v="CUST003"/>
    <x v="4"/>
    <s v="P008"/>
    <s v="Bookshelf"/>
    <s v="Furniture"/>
    <n v="5"/>
    <n v="149.99"/>
    <s v="Credit Card"/>
    <s v="North"/>
    <s v="Premium"/>
    <d v="2024-01-04T00:00:00"/>
    <n v="749.95"/>
    <n v="0"/>
    <d v="2026-03-24T22:33:56"/>
  </r>
  <r>
    <d v="2024-04-21T00:00:00"/>
    <s v="CUST024"/>
    <x v="5"/>
    <s v="P005"/>
    <s v="Blender"/>
    <s v="Appliances"/>
    <n v="2"/>
    <n v="59.99"/>
    <s v="Cash"/>
    <s v="West"/>
    <s v="Standard"/>
    <d v="2022-07-04T00:00:00"/>
    <n v="119.98"/>
    <n v="1"/>
    <d v="2026-03-24T22:33:56"/>
  </r>
  <r>
    <d v="2024-04-21T00:00:00"/>
    <s v="CUST024"/>
    <x v="5"/>
    <s v="P003"/>
    <s v="Headphones"/>
    <s v="Electronics"/>
    <n v="5"/>
    <n v="149.99"/>
    <s v="Credit Card"/>
    <s v="Central"/>
    <s v="Standard"/>
    <d v="2021-08-10T00:00:00"/>
    <n v="749.95"/>
    <n v="2"/>
    <d v="2026-03-24T22:33:56"/>
  </r>
  <r>
    <d v="2024-04-21T00:00:00"/>
    <s v="CUST017"/>
    <x v="6"/>
    <s v="P005"/>
    <s v="Blender"/>
    <s v="Appliances"/>
    <n v="3"/>
    <n v="59.99"/>
    <s v="Debit Card"/>
    <s v="South"/>
    <s v="Basic"/>
    <d v="2023-03-22T00:00:00"/>
    <n v="179.97"/>
    <n v="1"/>
    <d v="2026-03-24T22:33:56"/>
  </r>
  <r>
    <d v="2024-04-23T00:00:00"/>
    <s v="CUST009"/>
    <x v="7"/>
    <s v="P001"/>
    <s v="Laptop"/>
    <s v="Electronics"/>
    <n v="3"/>
    <n v="899.99"/>
    <s v="PayPal"/>
    <s v="East"/>
    <s v="Standard"/>
    <d v="2024-01-08T00:00:00"/>
    <n v="2699.97"/>
    <n v="0"/>
    <d v="2026-03-24T22:33:56"/>
  </r>
  <r>
    <d v="2024-04-26T00:00:00"/>
    <s v="CUST026"/>
    <x v="8"/>
    <s v="P005"/>
    <s v="Blender"/>
    <s v="Appliances"/>
    <n v="3"/>
    <n v="59.99"/>
    <s v="Cash"/>
    <s v="West"/>
    <s v="Premium"/>
    <d v="2023-10-08T00:00:00"/>
    <n v="179.97"/>
    <n v="0"/>
    <d v="2026-03-24T22:33:56"/>
  </r>
  <r>
    <d v="2024-04-26T00:00:00"/>
    <s v="CUST022"/>
    <x v="9"/>
    <s v="P008"/>
    <s v="Bookshelf"/>
    <s v="Furniture"/>
    <n v="1"/>
    <n v="149.99"/>
    <s v="Credit Card"/>
    <s v="West"/>
    <s v="Standard"/>
    <d v="2023-06-26T00:00:00"/>
    <n v="149.99"/>
    <n v="0"/>
    <d v="2026-03-24T22:33:56"/>
  </r>
  <r>
    <d v="2024-04-26T00:00:00"/>
    <s v="CUST046"/>
    <x v="3"/>
    <s v="P008"/>
    <s v="Bookshelf"/>
    <s v="Furniture"/>
    <n v="5"/>
    <n v="149.99"/>
    <s v="Debit Card"/>
    <s v="North"/>
    <s v="Basic"/>
    <d v="2022-09-26T00:00:00"/>
    <n v="749.95"/>
    <n v="1"/>
    <d v="2026-03-24T22:33:56"/>
  </r>
  <r>
    <d v="2024-04-26T00:00:00"/>
    <s v="CUST041"/>
    <x v="10"/>
    <s v="P008"/>
    <s v="Bookshelf"/>
    <s v="Furniture"/>
    <n v="3"/>
    <n v="149.99"/>
    <s v="Cash"/>
    <s v="North"/>
    <s v="Premium"/>
    <d v="2022-09-02T00:00:00"/>
    <n v="449.97"/>
    <n v="1"/>
    <d v="2026-03-24T22:33:56"/>
  </r>
  <r>
    <d v="2024-04-27T00:00:00"/>
    <s v="CUST043"/>
    <x v="11"/>
    <s v="P005"/>
    <s v="Blender"/>
    <s v="Appliances"/>
    <n v="3"/>
    <n v="59.99"/>
    <s v="Credit Card"/>
    <s v="North"/>
    <s v="Standard"/>
    <d v="2024-02-29T00:00:00"/>
    <n v="179.97"/>
    <n v="0"/>
    <d v="2026-03-24T22:33:56"/>
  </r>
  <r>
    <d v="2024-04-27T00:00:00"/>
    <s v="CUST038"/>
    <x v="12"/>
    <s v="P002"/>
    <s v="Smartphone"/>
    <s v="Electronics"/>
    <n v="3"/>
    <n v="699.99"/>
    <s v="Credit Card"/>
    <s v="West"/>
    <s v="Basic"/>
    <d v="2022-01-16T00:00:00"/>
    <n v="2099.9699999999998"/>
    <n v="2"/>
    <d v="2026-03-24T22:33:56"/>
  </r>
  <r>
    <d v="2024-04-27T00:00:00"/>
    <s v="CUST027"/>
    <x v="13"/>
    <s v="P001"/>
    <s v="Laptop"/>
    <s v="Electronics"/>
    <n v="1"/>
    <n v="899.99"/>
    <s v="Debit Card"/>
    <s v="North"/>
    <s v="Standard"/>
    <d v="2022-12-25T00:00:00"/>
    <n v="899.99"/>
    <n v="1"/>
    <d v="2026-03-24T22:33:56"/>
  </r>
  <r>
    <d v="2024-04-28T00:00:00"/>
    <s v="CUST025"/>
    <x v="14"/>
    <s v="P008"/>
    <s v="Bookshelf"/>
    <s v="Furniture"/>
    <n v="4"/>
    <n v="149.99"/>
    <s v="Debit Card"/>
    <s v="North"/>
    <s v="Premium"/>
    <d v="2024-03-23T00:00:00"/>
    <n v="599.96"/>
    <n v="0"/>
    <d v="2026-03-24T22:33:56"/>
  </r>
  <r>
    <d v="2024-04-28T00:00:00"/>
    <s v="CUST010"/>
    <x v="15"/>
    <s v="P002"/>
    <s v="Smartphone"/>
    <s v="Electronics"/>
    <n v="2"/>
    <n v="699.99"/>
    <s v="Cash"/>
    <s v="North"/>
    <s v="Basic"/>
    <d v="2022-08-08T00:00:00"/>
    <n v="1399.98"/>
    <n v="1"/>
    <d v="2026-03-24T22:33:56"/>
  </r>
  <r>
    <d v="2024-04-28T00:00:00"/>
    <s v="CUST025"/>
    <x v="14"/>
    <s v="P001"/>
    <s v="Laptop"/>
    <s v="Electronics"/>
    <n v="4"/>
    <n v="899.99"/>
    <s v="Credit Card"/>
    <s v="West"/>
    <s v="Standard"/>
    <d v="2024-02-05T00:00:00"/>
    <n v="3599.96"/>
    <n v="0"/>
    <d v="2026-03-24T22:33:56"/>
  </r>
  <r>
    <d v="2024-04-28T00:00:00"/>
    <s v="CUST048"/>
    <x v="16"/>
    <s v="P009"/>
    <s v="Monitor"/>
    <s v="Electronics"/>
    <n v="3"/>
    <n v="249.99"/>
    <s v="Credit Card"/>
    <s v="North"/>
    <s v="Premium"/>
    <d v="2023-10-25T00:00:00"/>
    <n v="749.97"/>
    <n v="0"/>
    <d v="2026-03-24T22:33:56"/>
  </r>
  <r>
    <d v="2024-04-30T00:00:00"/>
    <s v="CUST018"/>
    <x v="17"/>
    <s v="P002"/>
    <s v="Smartphone"/>
    <s v="Electronics"/>
    <n v="5"/>
    <n v="699.99"/>
    <s v="Cash"/>
    <s v="West"/>
    <s v="Basic"/>
    <d v="2023-08-29T00:00:00"/>
    <n v="3499.95"/>
    <n v="0"/>
    <d v="2026-03-24T22:33:56"/>
  </r>
  <r>
    <d v="2024-05-01T00:00:00"/>
    <s v="CUST012"/>
    <x v="18"/>
    <s v="P002"/>
    <s v="Smartphone"/>
    <s v="Electronics"/>
    <n v="4"/>
    <n v="699.99"/>
    <s v="Cash"/>
    <s v="East"/>
    <s v="Standard"/>
    <d v="2021-08-01T00:00:00"/>
    <n v="2799.96"/>
    <n v="2"/>
    <d v="2026-03-24T22:33:56"/>
  </r>
  <r>
    <d v="2024-05-03T00:00:00"/>
    <s v="CUST044"/>
    <x v="19"/>
    <s v="P009"/>
    <s v="Monitor"/>
    <s v="Electronics"/>
    <n v="4"/>
    <n v="249.99"/>
    <s v="PayPal"/>
    <s v="North"/>
    <s v="Standard"/>
    <d v="2021-09-29T00:00:00"/>
    <n v="999.96"/>
    <n v="2"/>
    <d v="2026-03-24T22:33:56"/>
  </r>
  <r>
    <d v="2024-05-04T00:00:00"/>
    <s v="CUST025"/>
    <x v="14"/>
    <s v="P007"/>
    <s v="Desk"/>
    <s v="Furniture"/>
    <n v="4"/>
    <n v="299.99"/>
    <s v="Cash"/>
    <s v="West"/>
    <s v="Premium"/>
    <d v="2022-06-04T00:00:00"/>
    <n v="1199.96"/>
    <n v="1"/>
    <d v="2026-03-24T22:33:56"/>
  </r>
  <r>
    <d v="2024-05-10T00:00:00"/>
    <s v="CUST036"/>
    <x v="20"/>
    <s v="P009"/>
    <s v="Monitor"/>
    <s v="Electronics"/>
    <n v="5"/>
    <n v="249.99"/>
    <s v="Credit Card"/>
    <s v="West"/>
    <s v="Standard"/>
    <d v="2021-11-25T00:00:00"/>
    <n v="1249.95"/>
    <n v="2"/>
    <d v="2026-03-24T22:33:56"/>
  </r>
  <r>
    <d v="2024-05-12T00:00:00"/>
    <s v="CUST022"/>
    <x v="9"/>
    <s v="P007"/>
    <s v="Desk"/>
    <s v="Furniture"/>
    <n v="5"/>
    <n v="299.99"/>
    <s v="PayPal"/>
    <s v="East"/>
    <s v="Basic"/>
    <d v="2023-08-30T00:00:00"/>
    <n v="1499.95"/>
    <n v="0"/>
    <d v="2026-03-24T22:33:56"/>
  </r>
  <r>
    <d v="2024-05-12T00:00:00"/>
    <s v="CUST014"/>
    <x v="21"/>
    <s v="P004"/>
    <s v="Coffee Maker"/>
    <s v="Appliances"/>
    <n v="3"/>
    <n v="79.989999999999995"/>
    <s v="PayPal"/>
    <s v="East"/>
    <s v="Premium"/>
    <d v="2023-03-27T00:00:00"/>
    <n v="239.97"/>
    <n v="1"/>
    <d v="2026-03-24T22:33:56"/>
  </r>
  <r>
    <d v="2024-05-12T00:00:00"/>
    <s v="CUST012"/>
    <x v="18"/>
    <s v="P010"/>
    <s v="Keyboard"/>
    <s v="Electronics"/>
    <n v="5"/>
    <n v="89.99"/>
    <s v="Cash"/>
    <s v="North"/>
    <s v="Premium"/>
    <d v="2022-12-24T00:00:00"/>
    <n v="449.95"/>
    <n v="1"/>
    <d v="2026-03-24T22:33:56"/>
  </r>
  <r>
    <d v="2024-05-13T00:00:00"/>
    <s v="CUST030"/>
    <x v="22"/>
    <s v="P005"/>
    <s v="Blender"/>
    <s v="Appliances"/>
    <n v="2"/>
    <n v="59.99"/>
    <s v="Debit Card"/>
    <s v="Central"/>
    <s v="Standard"/>
    <d v="2023-10-15T00:00:00"/>
    <n v="119.98"/>
    <n v="0"/>
    <d v="2026-03-24T22:33:56"/>
  </r>
  <r>
    <d v="2024-05-15T00:00:00"/>
    <s v="CUST029"/>
    <x v="23"/>
    <s v="P005"/>
    <s v="Blender"/>
    <s v="Appliances"/>
    <n v="4"/>
    <n v="59.99"/>
    <s v="Debit Card"/>
    <s v="East"/>
    <s v="Standard"/>
    <d v="2022-11-02T00:00:00"/>
    <n v="239.96"/>
    <n v="1"/>
    <d v="2026-03-24T22:33:56"/>
  </r>
  <r>
    <d v="2024-05-15T00:00:00"/>
    <s v="CUST017"/>
    <x v="6"/>
    <s v="P006"/>
    <s v="Office Chair"/>
    <s v="Furniture"/>
    <n v="5"/>
    <n v="199.99"/>
    <s v="Cash"/>
    <s v="South"/>
    <s v="Standard"/>
    <d v="2021-08-04T00:00:00"/>
    <n v="999.95"/>
    <n v="2"/>
    <d v="2026-03-24T22:33:56"/>
  </r>
  <r>
    <d v="2024-05-16T00:00:00"/>
    <s v="CUST006"/>
    <x v="24"/>
    <s v="P008"/>
    <s v="Bookshelf"/>
    <s v="Furniture"/>
    <n v="2"/>
    <n v="149.99"/>
    <s v="Credit Card"/>
    <s v="West"/>
    <s v="Basic"/>
    <d v="2022-09-19T00:00:00"/>
    <n v="299.98"/>
    <n v="1"/>
    <d v="2026-03-24T22:33:56"/>
  </r>
  <r>
    <d v="2024-05-18T00:00:00"/>
    <s v="CUST002"/>
    <x v="25"/>
    <s v="P008"/>
    <s v="Bookshelf"/>
    <s v="Furniture"/>
    <n v="3"/>
    <n v="149.99"/>
    <s v="Credit Card"/>
    <s v="West"/>
    <s v="Premium"/>
    <d v="2023-05-22T00:00:00"/>
    <n v="449.97"/>
    <n v="0"/>
    <d v="2026-03-24T22:33:56"/>
  </r>
  <r>
    <d v="2024-05-20T00:00:00"/>
    <s v="CUST021"/>
    <x v="2"/>
    <s v="P001"/>
    <s v="Laptop"/>
    <s v="Electronics"/>
    <n v="1"/>
    <n v="899.99"/>
    <s v="Credit Card"/>
    <s v="West"/>
    <s v="Premium"/>
    <d v="2022-01-17T00:00:00"/>
    <n v="899.99"/>
    <n v="2"/>
    <d v="2026-03-24T22:33:56"/>
  </r>
  <r>
    <d v="2024-05-22T00:00:00"/>
    <s v="CUST012"/>
    <x v="18"/>
    <s v="P007"/>
    <s v="Desk"/>
    <s v="Furniture"/>
    <n v="3"/>
    <n v="299.99"/>
    <s v="Credit Card"/>
    <s v="East"/>
    <s v="Basic"/>
    <d v="2022-09-20T00:00:00"/>
    <n v="899.97"/>
    <n v="1"/>
    <d v="2026-03-24T22:33:56"/>
  </r>
  <r>
    <d v="2024-05-23T00:00:00"/>
    <s v="CUST006"/>
    <x v="24"/>
    <s v="P004"/>
    <s v="Coffee Maker"/>
    <s v="Appliances"/>
    <n v="3"/>
    <n v="79.989999999999995"/>
    <s v="Cash"/>
    <s v="South"/>
    <s v="Basic"/>
    <d v="2023-04-30T00:00:00"/>
    <n v="239.97"/>
    <n v="1"/>
    <d v="2026-03-24T22:33:56"/>
  </r>
  <r>
    <d v="2024-05-26T00:00:00"/>
    <s v="CUST031"/>
    <x v="26"/>
    <s v="P006"/>
    <s v="Office Chair"/>
    <s v="Furniture"/>
    <n v="3"/>
    <n v="199.99"/>
    <s v="Credit Card"/>
    <s v="North"/>
    <s v="Premium"/>
    <d v="2024-01-01T00:00:00"/>
    <n v="599.97"/>
    <n v="0"/>
    <d v="2026-03-24T22:33:56"/>
  </r>
  <r>
    <d v="2024-05-28T00:00:00"/>
    <s v="CUST008"/>
    <x v="27"/>
    <s v="P002"/>
    <s v="Smartphone"/>
    <s v="Electronics"/>
    <n v="5"/>
    <n v="699.99"/>
    <s v="PayPal"/>
    <s v="West"/>
    <s v="Standard"/>
    <d v="2021-07-30T00:00:00"/>
    <n v="3499.95"/>
    <n v="2"/>
    <d v="2026-03-24T22:33:56"/>
  </r>
  <r>
    <d v="2024-05-29T00:00:00"/>
    <s v="CUST035"/>
    <x v="28"/>
    <s v="P010"/>
    <s v="Keyboard"/>
    <s v="Electronics"/>
    <n v="3"/>
    <n v="89.99"/>
    <s v="PayPal"/>
    <s v="Central"/>
    <s v="Premium"/>
    <d v="2023-07-13T00:00:00"/>
    <n v="269.97000000000003"/>
    <n v="0"/>
    <d v="2026-03-24T22:33:56"/>
  </r>
  <r>
    <d v="2024-05-31T00:00:00"/>
    <s v="CUST019"/>
    <x v="29"/>
    <s v="P004"/>
    <s v="Coffee Maker"/>
    <s v="Appliances"/>
    <n v="1"/>
    <n v="79.989999999999995"/>
    <s v="Cash"/>
    <s v="North"/>
    <s v="Standard"/>
    <d v="2022-12-22T00:00:00"/>
    <n v="79.989999999999995"/>
    <n v="1"/>
    <d v="2026-03-24T22:33:56"/>
  </r>
  <r>
    <d v="2024-06-01T00:00:00"/>
    <s v="CUST040"/>
    <x v="30"/>
    <s v="P005"/>
    <s v="Blender"/>
    <s v="Appliances"/>
    <n v="2"/>
    <n v="59.99"/>
    <s v="Cash"/>
    <s v="West"/>
    <s v="Basic"/>
    <d v="2024-04-08T00:00:00"/>
    <n v="119.98"/>
    <n v="0"/>
    <d v="2026-03-24T22:33:56"/>
  </r>
  <r>
    <d v="2024-06-01T00:00:00"/>
    <s v="CUST017"/>
    <x v="6"/>
    <s v="P010"/>
    <s v="Keyboard"/>
    <s v="Electronics"/>
    <n v="1"/>
    <n v="89.99"/>
    <s v="Cash"/>
    <s v="North"/>
    <s v="Basic"/>
    <d v="2023-08-03T00:00:00"/>
    <n v="89.99"/>
    <n v="0"/>
    <d v="2026-03-24T22:33:56"/>
  </r>
  <r>
    <d v="2024-06-03T00:00:00"/>
    <s v="CUST004"/>
    <x v="31"/>
    <s v="P010"/>
    <s v="Keyboard"/>
    <s v="Electronics"/>
    <n v="5"/>
    <n v="89.99"/>
    <s v="Credit Card"/>
    <s v="East"/>
    <s v="Standard"/>
    <d v="2022-01-26T00:00:00"/>
    <n v="449.95"/>
    <n v="2"/>
    <d v="2026-03-24T22:33:56"/>
  </r>
  <r>
    <d v="2024-06-06T00:00:00"/>
    <s v="CUST013"/>
    <x v="1"/>
    <s v="P009"/>
    <s v="Monitor"/>
    <s v="Electronics"/>
    <n v="5"/>
    <n v="249.99"/>
    <s v="Credit Card"/>
    <s v="East"/>
    <s v="Standard"/>
    <d v="2022-05-26T00:00:00"/>
    <n v="1249.95"/>
    <n v="2"/>
    <d v="2026-03-24T22:33:56"/>
  </r>
  <r>
    <d v="2024-06-06T00:00:00"/>
    <s v="CUST028"/>
    <x v="32"/>
    <s v="P010"/>
    <s v="Keyboard"/>
    <s v="Electronics"/>
    <n v="1"/>
    <n v="89.99"/>
    <s v="Credit Card"/>
    <s v="South"/>
    <s v="Standard"/>
    <d v="2022-01-21T00:00:00"/>
    <n v="89.99"/>
    <n v="2"/>
    <d v="2026-03-24T22:33:56"/>
  </r>
  <r>
    <d v="2024-06-07T00:00:00"/>
    <s v="CUST003"/>
    <x v="4"/>
    <s v="P008"/>
    <s v="Bookshelf"/>
    <s v="Furniture"/>
    <n v="2"/>
    <n v="149.99"/>
    <s v="Cash"/>
    <s v="East"/>
    <s v="Premium"/>
    <d v="2022-03-25T00:00:00"/>
    <n v="299.98"/>
    <n v="2"/>
    <d v="2026-03-24T22:33:56"/>
  </r>
  <r>
    <d v="2024-06-09T00:00:00"/>
    <s v="CUST050"/>
    <x v="33"/>
    <s v="P005"/>
    <s v="Blender"/>
    <s v="Appliances"/>
    <n v="4"/>
    <n v="59.99"/>
    <s v="Cash"/>
    <s v="East"/>
    <s v="Standard"/>
    <d v="2021-08-27T00:00:00"/>
    <n v="239.96"/>
    <n v="2"/>
    <d v="2026-03-24T22:33:56"/>
  </r>
  <r>
    <d v="2024-06-13T00:00:00"/>
    <s v="CUST006"/>
    <x v="24"/>
    <s v="P010"/>
    <s v="Keyboard"/>
    <s v="Electronics"/>
    <n v="5"/>
    <n v="89.99"/>
    <s v="Cash"/>
    <s v="Central"/>
    <s v="Premium"/>
    <d v="2022-01-18T00:00:00"/>
    <n v="449.95"/>
    <n v="2"/>
    <d v="2026-03-24T22:33:56"/>
  </r>
  <r>
    <d v="2024-06-16T00:00:00"/>
    <s v="CUST012"/>
    <x v="18"/>
    <s v="P010"/>
    <s v="Keyboard"/>
    <s v="Electronics"/>
    <n v="2"/>
    <n v="89.99"/>
    <s v="Credit Card"/>
    <s v="South"/>
    <s v="Premium"/>
    <d v="2021-10-02T00:00:00"/>
    <n v="179.98"/>
    <n v="2"/>
    <d v="2026-03-24T22:33:56"/>
  </r>
  <r>
    <d v="2024-06-16T00:00:00"/>
    <s v="CUST023"/>
    <x v="0"/>
    <s v="P001"/>
    <s v="Laptop"/>
    <s v="Electronics"/>
    <n v="5"/>
    <n v="899.99"/>
    <s v="Credit Card"/>
    <s v="South"/>
    <s v="Standard"/>
    <d v="2023-02-17T00:00:00"/>
    <n v="4499.95"/>
    <n v="1"/>
    <d v="2026-03-24T22:33:56"/>
  </r>
  <r>
    <d v="2024-06-16T00:00:00"/>
    <s v="CUST029"/>
    <x v="23"/>
    <s v="P001"/>
    <s v="Laptop"/>
    <s v="Electronics"/>
    <n v="5"/>
    <n v="899.99"/>
    <s v="PayPal"/>
    <s v="East"/>
    <s v="Premium"/>
    <d v="2023-12-18T00:00:00"/>
    <n v="4499.95"/>
    <n v="0"/>
    <d v="2026-03-24T22:33:56"/>
  </r>
  <r>
    <d v="2024-06-17T00:00:00"/>
    <s v="CUST028"/>
    <x v="32"/>
    <s v="P005"/>
    <s v="Blender"/>
    <s v="Appliances"/>
    <n v="1"/>
    <n v="59.99"/>
    <s v="Debit Card"/>
    <s v="West"/>
    <s v="Premium"/>
    <d v="2023-09-21T00:00:00"/>
    <n v="59.99"/>
    <n v="0"/>
    <d v="2026-03-24T22:33:56"/>
  </r>
  <r>
    <d v="2024-06-17T00:00:00"/>
    <s v="CUST008"/>
    <x v="27"/>
    <s v="P007"/>
    <s v="Desk"/>
    <s v="Furniture"/>
    <n v="2"/>
    <n v="299.99"/>
    <s v="Debit Card"/>
    <s v="East"/>
    <s v="Standard"/>
    <d v="2023-11-23T00:00:00"/>
    <n v="599.98"/>
    <n v="0"/>
    <d v="2026-03-24T22:33:56"/>
  </r>
  <r>
    <d v="2024-06-25T00:00:00"/>
    <s v="CUST049"/>
    <x v="34"/>
    <s v="P010"/>
    <s v="Keyboard"/>
    <s v="Electronics"/>
    <n v="4"/>
    <n v="89.99"/>
    <s v="Debit Card"/>
    <s v="South"/>
    <s v="Basic"/>
    <d v="2023-12-21T00:00:00"/>
    <n v="359.96"/>
    <n v="0"/>
    <d v="2026-03-24T22:33:56"/>
  </r>
  <r>
    <d v="2024-06-26T00:00:00"/>
    <s v="CUST021"/>
    <x v="2"/>
    <s v="P004"/>
    <s v="Coffee Maker"/>
    <s v="Appliances"/>
    <n v="1"/>
    <n v="79.989999999999995"/>
    <s v="PayPal"/>
    <s v="Central"/>
    <s v="Premium"/>
    <d v="2024-03-01T00:00:00"/>
    <n v="79.989999999999995"/>
    <n v="0"/>
    <d v="2026-03-24T22:33:56"/>
  </r>
  <r>
    <d v="2024-06-26T00:00:00"/>
    <s v="CUST009"/>
    <x v="7"/>
    <s v="P010"/>
    <s v="Keyboard"/>
    <s v="Electronics"/>
    <n v="2"/>
    <n v="89.99"/>
    <s v="Cash"/>
    <s v="West"/>
    <s v="Basic"/>
    <d v="2021-08-30T00:00:00"/>
    <n v="179.98"/>
    <n v="2"/>
    <d v="2026-03-24T22:33:56"/>
  </r>
  <r>
    <d v="2024-06-28T00:00:00"/>
    <s v="CUST046"/>
    <x v="3"/>
    <s v="P002"/>
    <s v="Smartphone"/>
    <s v="Electronics"/>
    <n v="3"/>
    <n v="699.99"/>
    <s v="Credit Card"/>
    <s v="East"/>
    <s v="Premium"/>
    <d v="2023-06-25T00:00:00"/>
    <n v="2099.9699999999998"/>
    <n v="1"/>
    <d v="2026-03-24T22:33:56"/>
  </r>
  <r>
    <d v="2024-06-28T00:00:00"/>
    <s v="CUST012"/>
    <x v="18"/>
    <s v="P001"/>
    <s v="Laptop"/>
    <s v="Electronics"/>
    <n v="4"/>
    <n v="899.99"/>
    <s v="Credit Card"/>
    <s v="East"/>
    <s v="Premium"/>
    <d v="2023-03-08T00:00:00"/>
    <n v="3599.96"/>
    <n v="1"/>
    <d v="2026-03-24T22:33:56"/>
  </r>
  <r>
    <d v="2024-06-29T00:00:00"/>
    <s v="CUST030"/>
    <x v="22"/>
    <s v="P008"/>
    <s v="Bookshelf"/>
    <s v="Furniture"/>
    <n v="1"/>
    <n v="149.99"/>
    <s v="PayPal"/>
    <s v="East"/>
    <s v="Basic"/>
    <d v="2022-10-17T00:00:00"/>
    <n v="149.99"/>
    <n v="1"/>
    <d v="2026-03-24T22:33:56"/>
  </r>
  <r>
    <d v="2024-07-01T00:00:00"/>
    <s v="CUST002"/>
    <x v="25"/>
    <s v="P010"/>
    <s v="Keyboard"/>
    <s v="Electronics"/>
    <n v="2"/>
    <n v="89.99"/>
    <s v="PayPal"/>
    <s v="Central"/>
    <s v="Premium"/>
    <d v="2023-12-15T00:00:00"/>
    <n v="179.98"/>
    <n v="0"/>
    <d v="2026-03-24T22:33:56"/>
  </r>
  <r>
    <d v="2024-07-02T00:00:00"/>
    <s v="CUST017"/>
    <x v="6"/>
    <s v="P010"/>
    <s v="Keyboard"/>
    <s v="Electronics"/>
    <n v="1"/>
    <n v="89.99"/>
    <s v="PayPal"/>
    <s v="West"/>
    <s v="Standard"/>
    <d v="2022-08-29T00:00:00"/>
    <n v="89.99"/>
    <n v="1"/>
    <d v="2026-03-24T22:33:56"/>
  </r>
  <r>
    <d v="2024-07-03T00:00:00"/>
    <s v="CUST022"/>
    <x v="9"/>
    <s v="P010"/>
    <s v="Keyboard"/>
    <s v="Electronics"/>
    <n v="1"/>
    <n v="89.99"/>
    <s v="Cash"/>
    <s v="South"/>
    <s v="Standard"/>
    <d v="2022-02-19T00:00:00"/>
    <n v="89.99"/>
    <n v="2"/>
    <d v="2026-03-24T22:33:56"/>
  </r>
  <r>
    <d v="2024-07-03T00:00:00"/>
    <s v="CUST007"/>
    <x v="35"/>
    <s v="P004"/>
    <s v="Coffee Maker"/>
    <s v="Appliances"/>
    <n v="5"/>
    <n v="79.989999999999995"/>
    <s v="Debit Card"/>
    <s v="Central"/>
    <s v="Basic"/>
    <d v="2023-02-24T00:00:00"/>
    <n v="399.95"/>
    <n v="1"/>
    <d v="2026-03-24T22:33:56"/>
  </r>
  <r>
    <d v="2024-07-08T00:00:00"/>
    <s v="CUST020"/>
    <x v="36"/>
    <s v="P008"/>
    <s v="Bookshelf"/>
    <s v="Furniture"/>
    <n v="1"/>
    <n v="149.99"/>
    <s v="PayPal"/>
    <s v="North"/>
    <s v="Basic"/>
    <d v="2021-08-13T00:00:00"/>
    <n v="149.99"/>
    <n v="2"/>
    <d v="2026-03-24T22:33:56"/>
  </r>
  <r>
    <d v="2024-07-08T00:00:00"/>
    <s v="CUST003"/>
    <x v="4"/>
    <s v="P002"/>
    <s v="Smartphone"/>
    <s v="Electronics"/>
    <n v="2"/>
    <n v="699.99"/>
    <s v="PayPal"/>
    <s v="East"/>
    <s v="Premium"/>
    <d v="2024-04-07T00:00:00"/>
    <n v="1399.98"/>
    <n v="0"/>
    <d v="2026-03-24T22:33:56"/>
  </r>
  <r>
    <d v="2024-07-08T00:00:00"/>
    <s v="CUST018"/>
    <x v="17"/>
    <s v="P010"/>
    <s v="Keyboard"/>
    <s v="Electronics"/>
    <n v="5"/>
    <n v="89.99"/>
    <s v="Debit Card"/>
    <s v="North"/>
    <s v="Premium"/>
    <d v="2023-08-23T00:00:00"/>
    <n v="449.95"/>
    <n v="0"/>
    <d v="2026-03-24T22:33:56"/>
  </r>
  <r>
    <d v="2024-07-09T00:00:00"/>
    <s v="CUST049"/>
    <x v="34"/>
    <s v="P005"/>
    <s v="Blender"/>
    <s v="Appliances"/>
    <n v="4"/>
    <n v="59.99"/>
    <s v="Cash"/>
    <s v="South"/>
    <s v="Standard"/>
    <d v="2021-11-09T00:00:00"/>
    <n v="239.96"/>
    <n v="2"/>
    <d v="2026-03-24T22:33:56"/>
  </r>
  <r>
    <d v="2024-07-11T00:00:00"/>
    <s v="CUST013"/>
    <x v="1"/>
    <s v="P003"/>
    <s v="Headphones"/>
    <s v="Electronics"/>
    <n v="1"/>
    <n v="149.99"/>
    <s v="Cash"/>
    <s v="Central"/>
    <s v="Standard"/>
    <d v="2022-12-14T00:00:00"/>
    <n v="149.99"/>
    <n v="1"/>
    <d v="2026-03-24T22:33:56"/>
  </r>
  <r>
    <d v="2024-07-11T00:00:00"/>
    <s v="CUST033"/>
    <x v="37"/>
    <s v="P007"/>
    <s v="Desk"/>
    <s v="Furniture"/>
    <n v="1"/>
    <n v="299.99"/>
    <s v="Credit Card"/>
    <s v="North"/>
    <s v="Premium"/>
    <d v="2022-11-26T00:00:00"/>
    <n v="299.99"/>
    <n v="1"/>
    <d v="2026-03-24T22:33:56"/>
  </r>
  <r>
    <d v="2024-07-14T00:00:00"/>
    <s v="CUST033"/>
    <x v="37"/>
    <s v="P006"/>
    <s v="Office Chair"/>
    <s v="Furniture"/>
    <n v="2"/>
    <n v="199.99"/>
    <s v="Cash"/>
    <s v="North"/>
    <s v="Basic"/>
    <d v="2021-12-11T00:00:00"/>
    <n v="399.98"/>
    <n v="2"/>
    <d v="2026-03-24T22:33:56"/>
  </r>
  <r>
    <d v="2024-07-17T00:00:00"/>
    <s v="CUST047"/>
    <x v="38"/>
    <s v="P005"/>
    <s v="Blender"/>
    <s v="Appliances"/>
    <n v="3"/>
    <n v="59.99"/>
    <s v="Credit Card"/>
    <s v="West"/>
    <s v="Basic"/>
    <d v="2023-07-23T00:00:00"/>
    <n v="179.97"/>
    <n v="0"/>
    <d v="2026-03-24T22:33:56"/>
  </r>
  <r>
    <d v="2024-07-17T00:00:00"/>
    <s v="CUST041"/>
    <x v="10"/>
    <s v="P008"/>
    <s v="Bookshelf"/>
    <s v="Furniture"/>
    <n v="3"/>
    <n v="149.99"/>
    <s v="Cash"/>
    <s v="Central"/>
    <s v="Premium"/>
    <d v="2023-09-30T00:00:00"/>
    <n v="449.97"/>
    <n v="0"/>
    <d v="2026-03-24T22:33:56"/>
  </r>
  <r>
    <d v="2024-07-18T00:00:00"/>
    <s v="CUST026"/>
    <x v="8"/>
    <s v="P006"/>
    <s v="Office Chair"/>
    <s v="Furniture"/>
    <n v="3"/>
    <n v="199.99"/>
    <s v="Cash"/>
    <s v="North"/>
    <s v="Premium"/>
    <d v="2023-11-24T00:00:00"/>
    <n v="599.97"/>
    <n v="0"/>
    <d v="2026-03-24T22:33:56"/>
  </r>
  <r>
    <d v="2024-07-23T00:00:00"/>
    <s v="CUST040"/>
    <x v="30"/>
    <s v="P001"/>
    <s v="Laptop"/>
    <s v="Electronics"/>
    <n v="1"/>
    <n v="899.99"/>
    <s v="Cash"/>
    <s v="Central"/>
    <s v="Standard"/>
    <d v="2023-09-10T00:00:00"/>
    <n v="899.99"/>
    <n v="0"/>
    <d v="2026-03-24T22:33:56"/>
  </r>
  <r>
    <d v="2024-07-24T00:00:00"/>
    <s v="CUST013"/>
    <x v="1"/>
    <s v="P001"/>
    <s v="Laptop"/>
    <s v="Electronics"/>
    <n v="5"/>
    <n v="899.99"/>
    <s v="Debit Card"/>
    <s v="South"/>
    <s v="Standard"/>
    <d v="2022-12-04T00:00:00"/>
    <n v="4499.95"/>
    <n v="1"/>
    <d v="2026-03-24T22:33:56"/>
  </r>
  <r>
    <d v="2024-07-25T00:00:00"/>
    <s v="CUST007"/>
    <x v="35"/>
    <s v="P005"/>
    <s v="Blender"/>
    <s v="Appliances"/>
    <n v="2"/>
    <n v="59.99"/>
    <s v="Cash"/>
    <s v="North"/>
    <s v="Standard"/>
    <d v="2023-08-14T00:00:00"/>
    <n v="119.98"/>
    <n v="0"/>
    <d v="2026-03-24T22:33:56"/>
  </r>
  <r>
    <d v="2024-07-25T00:00:00"/>
    <s v="CUST047"/>
    <x v="38"/>
    <s v="P009"/>
    <s v="Monitor"/>
    <s v="Electronics"/>
    <n v="4"/>
    <n v="249.99"/>
    <s v="Debit Card"/>
    <s v="Central"/>
    <s v="Standard"/>
    <d v="2023-07-20T00:00:00"/>
    <n v="999.96"/>
    <n v="1"/>
    <d v="2026-03-24T22:33:56"/>
  </r>
  <r>
    <d v="2024-07-27T00:00:00"/>
    <s v="CUST018"/>
    <x v="17"/>
    <s v="P009"/>
    <s v="Monitor"/>
    <s v="Electronics"/>
    <n v="2"/>
    <n v="249.99"/>
    <s v="Cash"/>
    <s v="North"/>
    <s v="Premium"/>
    <d v="2023-08-26T00:00:00"/>
    <n v="499.98"/>
    <n v="0"/>
    <d v="2026-03-24T22:33:56"/>
  </r>
  <r>
    <d v="2024-07-27T00:00:00"/>
    <s v="CUST019"/>
    <x v="29"/>
    <s v="P007"/>
    <s v="Desk"/>
    <s v="Furniture"/>
    <n v="1"/>
    <n v="299.99"/>
    <s v="Cash"/>
    <s v="South"/>
    <s v="Basic"/>
    <d v="2023-02-25T00:00:00"/>
    <n v="299.99"/>
    <n v="1"/>
    <d v="2026-03-24T22:33:56"/>
  </r>
  <r>
    <d v="2024-07-28T00:00:00"/>
    <s v="CUST025"/>
    <x v="14"/>
    <s v="P010"/>
    <s v="Keyboard"/>
    <s v="Electronics"/>
    <n v="2"/>
    <n v="89.99"/>
    <s v="PayPal"/>
    <s v="South"/>
    <s v="Basic"/>
    <d v="2023-02-19T00:00:00"/>
    <n v="179.98"/>
    <n v="1"/>
    <d v="2026-03-24T22:33:56"/>
  </r>
  <r>
    <d v="2024-07-28T00:00:00"/>
    <s v="CUST019"/>
    <x v="29"/>
    <s v="P007"/>
    <s v="Desk"/>
    <s v="Furniture"/>
    <n v="3"/>
    <n v="299.99"/>
    <s v="Cash"/>
    <s v="Central"/>
    <s v="Basic"/>
    <d v="2022-06-20T00:00:00"/>
    <n v="899.97"/>
    <n v="2"/>
    <d v="2026-03-24T22:33:56"/>
  </r>
  <r>
    <d v="2024-07-30T00:00:00"/>
    <s v="CUST025"/>
    <x v="14"/>
    <s v="P002"/>
    <s v="Smartphone"/>
    <s v="Electronics"/>
    <n v="2"/>
    <n v="699.99"/>
    <s v="Credit Card"/>
    <s v="North"/>
    <s v="Premium"/>
    <d v="2023-03-14T00:00:00"/>
    <n v="1399.98"/>
    <n v="1"/>
    <d v="2026-03-24T22:33:56"/>
  </r>
  <r>
    <d v="2024-07-31T00:00:00"/>
    <s v="CUST030"/>
    <x v="22"/>
    <s v="P001"/>
    <s v="Laptop"/>
    <s v="Electronics"/>
    <n v="4"/>
    <n v="899.99"/>
    <s v="Debit Card"/>
    <s v="South"/>
    <s v="Standard"/>
    <d v="2021-11-23T00:00:00"/>
    <n v="3599.96"/>
    <n v="2"/>
    <d v="2026-03-24T22:33:56"/>
  </r>
  <r>
    <d v="2024-08-05T00:00:00"/>
    <s v="CUST016"/>
    <x v="39"/>
    <s v="P008"/>
    <s v="Bookshelf"/>
    <s v="Furniture"/>
    <n v="2"/>
    <n v="149.99"/>
    <s v="Credit Card"/>
    <s v="West"/>
    <s v="Basic"/>
    <d v="2021-12-12T00:00:00"/>
    <n v="299.98"/>
    <n v="2"/>
    <d v="2026-03-24T22:33:56"/>
  </r>
  <r>
    <d v="2024-08-06T00:00:00"/>
    <s v="CUST044"/>
    <x v="19"/>
    <s v="P008"/>
    <s v="Bookshelf"/>
    <s v="Furniture"/>
    <n v="2"/>
    <n v="149.99"/>
    <s v="Debit Card"/>
    <s v="East"/>
    <s v="Standard"/>
    <d v="2022-04-16T00:00:00"/>
    <n v="299.98"/>
    <n v="2"/>
    <d v="2026-03-24T22:33:56"/>
  </r>
  <r>
    <d v="2024-08-09T00:00:00"/>
    <s v="CUST010"/>
    <x v="15"/>
    <s v="P010"/>
    <s v="Keyboard"/>
    <s v="Electronics"/>
    <n v="1"/>
    <n v="89.99"/>
    <s v="Credit Card"/>
    <s v="North"/>
    <s v="Standard"/>
    <d v="2024-04-11T00:00:00"/>
    <n v="89.99"/>
    <n v="0"/>
    <d v="2026-03-24T22:33:56"/>
  </r>
  <r>
    <d v="2024-08-11T00:00:00"/>
    <s v="CUST025"/>
    <x v="14"/>
    <s v="P007"/>
    <s v="Desk"/>
    <s v="Furniture"/>
    <n v="5"/>
    <n v="299.99"/>
    <s v="Credit Card"/>
    <s v="North"/>
    <s v="Basic"/>
    <d v="2023-02-08T00:00:00"/>
    <n v="1499.95"/>
    <n v="1"/>
    <d v="2026-03-24T22:33:56"/>
  </r>
  <r>
    <d v="2024-08-13T00:00:00"/>
    <s v="CUST007"/>
    <x v="35"/>
    <s v="P003"/>
    <s v="Headphones"/>
    <s v="Electronics"/>
    <n v="4"/>
    <n v="149.99"/>
    <s v="Debit Card"/>
    <s v="South"/>
    <s v="Premium"/>
    <d v="2022-09-16T00:00:00"/>
    <n v="599.96"/>
    <n v="1"/>
    <d v="2026-03-24T22:33:56"/>
  </r>
  <r>
    <d v="2024-08-13T00:00:00"/>
    <s v="CUST020"/>
    <x v="36"/>
    <s v="P009"/>
    <s v="Monitor"/>
    <s v="Electronics"/>
    <n v="5"/>
    <n v="249.99"/>
    <s v="PayPal"/>
    <s v="East"/>
    <s v="Premium"/>
    <d v="2022-08-09T00:00:00"/>
    <n v="1249.95"/>
    <n v="2"/>
    <d v="2026-03-24T22:33:56"/>
  </r>
  <r>
    <d v="2024-08-13T00:00:00"/>
    <s v="CUST026"/>
    <x v="8"/>
    <s v="P009"/>
    <s v="Monitor"/>
    <s v="Electronics"/>
    <n v="3"/>
    <n v="249.99"/>
    <s v="PayPal"/>
    <s v="North"/>
    <s v="Premium"/>
    <d v="2021-09-26T00:00:00"/>
    <n v="749.97"/>
    <n v="2"/>
    <d v="2026-03-24T22:33:56"/>
  </r>
  <r>
    <d v="2024-08-13T00:00:00"/>
    <s v="CUST046"/>
    <x v="3"/>
    <s v="P006"/>
    <s v="Office Chair"/>
    <s v="Furniture"/>
    <n v="4"/>
    <n v="199.99"/>
    <s v="Cash"/>
    <s v="North"/>
    <s v="Standard"/>
    <d v="2021-09-19T00:00:00"/>
    <n v="799.96"/>
    <n v="2"/>
    <d v="2026-03-24T22:33:56"/>
  </r>
  <r>
    <d v="2024-08-15T00:00:00"/>
    <s v="CUST028"/>
    <x v="32"/>
    <s v="P006"/>
    <s v="Office Chair"/>
    <s v="Furniture"/>
    <n v="5"/>
    <n v="199.99"/>
    <s v="Cash"/>
    <s v="North"/>
    <s v="Premium"/>
    <d v="2023-03-06T00:00:00"/>
    <n v="999.95"/>
    <n v="1"/>
    <d v="2026-03-24T22:33:56"/>
  </r>
  <r>
    <d v="2024-08-18T00:00:00"/>
    <s v="CUST025"/>
    <x v="14"/>
    <s v="P010"/>
    <s v="Keyboard"/>
    <s v="Electronics"/>
    <n v="2"/>
    <n v="89.99"/>
    <s v="Cash"/>
    <s v="East"/>
    <s v="Premium"/>
    <d v="2023-02-15T00:00:00"/>
    <n v="179.98"/>
    <n v="1"/>
    <d v="2026-03-24T22:33:56"/>
  </r>
  <r>
    <d v="2024-08-19T00:00:00"/>
    <s v="CUST047"/>
    <x v="38"/>
    <s v="P001"/>
    <s v="Laptop"/>
    <s v="Electronics"/>
    <n v="5"/>
    <n v="899.99"/>
    <s v="Debit Card"/>
    <s v="East"/>
    <s v="Basic"/>
    <d v="2021-11-26T00:00:00"/>
    <n v="4499.95"/>
    <n v="2"/>
    <d v="2026-03-24T22:33:56"/>
  </r>
  <r>
    <d v="2024-08-19T00:00:00"/>
    <s v="CUST036"/>
    <x v="20"/>
    <s v="P003"/>
    <s v="Headphones"/>
    <s v="Electronics"/>
    <n v="3"/>
    <n v="149.99"/>
    <s v="PayPal"/>
    <s v="East"/>
    <s v="Basic"/>
    <d v="2022-01-13T00:00:00"/>
    <n v="449.97"/>
    <n v="2"/>
    <d v="2026-03-24T22:33:56"/>
  </r>
  <r>
    <d v="2024-08-22T00:00:00"/>
    <s v="CUST044"/>
    <x v="19"/>
    <s v="P008"/>
    <s v="Bookshelf"/>
    <s v="Furniture"/>
    <n v="5"/>
    <n v="149.99"/>
    <s v="Credit Card"/>
    <s v="Central"/>
    <s v="Basic"/>
    <d v="2024-01-19T00:00:00"/>
    <n v="749.95"/>
    <n v="0"/>
    <d v="2026-03-24T22:33:56"/>
  </r>
  <r>
    <d v="2024-08-24T00:00:00"/>
    <s v="CUST039"/>
    <x v="40"/>
    <s v="P004"/>
    <s v="Coffee Maker"/>
    <s v="Appliances"/>
    <n v="3"/>
    <n v="79.989999999999995"/>
    <s v="Cash"/>
    <s v="Central"/>
    <s v="Premium"/>
    <d v="2022-08-06T00:00:00"/>
    <n v="239.97"/>
    <n v="2"/>
    <d v="2026-03-24T22:33:56"/>
  </r>
  <r>
    <d v="2024-08-24T00:00:00"/>
    <s v="CUST035"/>
    <x v="28"/>
    <s v="P009"/>
    <s v="Monitor"/>
    <s v="Electronics"/>
    <n v="2"/>
    <n v="249.99"/>
    <s v="Cash"/>
    <s v="South"/>
    <s v="Standard"/>
    <d v="2022-01-11T00:00:00"/>
    <n v="499.98"/>
    <n v="2"/>
    <d v="2026-03-24T22:33:56"/>
  </r>
  <r>
    <d v="2024-08-28T00:00:00"/>
    <s v="CUST047"/>
    <x v="38"/>
    <s v="P002"/>
    <s v="Smartphone"/>
    <s v="Electronics"/>
    <n v="1"/>
    <n v="699.99"/>
    <s v="Cash"/>
    <s v="Central"/>
    <s v="Premium"/>
    <d v="2021-10-28T00:00:00"/>
    <n v="699.99"/>
    <n v="2"/>
    <d v="2026-03-24T22:33:56"/>
  </r>
  <r>
    <d v="2024-08-28T00:00:00"/>
    <s v="CUST034"/>
    <x v="41"/>
    <s v="P003"/>
    <s v="Headphones"/>
    <s v="Electronics"/>
    <n v="3"/>
    <n v="149.99"/>
    <s v="Cash"/>
    <s v="West"/>
    <s v="Premium"/>
    <d v="2023-10-13T00:00:00"/>
    <n v="449.97"/>
    <n v="0"/>
    <d v="2026-03-24T22:33:56"/>
  </r>
  <r>
    <d v="2024-08-30T00:00:00"/>
    <s v="CUST032"/>
    <x v="42"/>
    <s v="P002"/>
    <s v="Smartphone"/>
    <s v="Electronics"/>
    <n v="2"/>
    <n v="699.99"/>
    <s v="Credit Card"/>
    <s v="North"/>
    <s v="Premium"/>
    <d v="2021-08-13T00:00:00"/>
    <n v="1399.98"/>
    <n v="3"/>
    <d v="2026-03-24T22:33:56"/>
  </r>
  <r>
    <d v="2024-09-02T00:00:00"/>
    <s v="CUST034"/>
    <x v="41"/>
    <s v="P009"/>
    <s v="Monitor"/>
    <s v="Electronics"/>
    <n v="1"/>
    <n v="249.99"/>
    <s v="Credit Card"/>
    <s v="West"/>
    <s v="Premium"/>
    <d v="2022-05-04T00:00:00"/>
    <n v="249.99"/>
    <n v="2"/>
    <d v="2026-03-24T22:33:56"/>
  </r>
  <r>
    <d v="2024-09-02T00:00:00"/>
    <s v="CUST023"/>
    <x v="0"/>
    <s v="P009"/>
    <s v="Monitor"/>
    <s v="Electronics"/>
    <n v="1"/>
    <n v="249.99"/>
    <s v="Debit Card"/>
    <s v="North"/>
    <s v="Premium"/>
    <d v="2024-02-10T00:00:00"/>
    <n v="249.99"/>
    <n v="0"/>
    <d v="2026-03-24T22:33:56"/>
  </r>
  <r>
    <d v="2024-09-03T00:00:00"/>
    <s v="CUST039"/>
    <x v="40"/>
    <s v="P002"/>
    <s v="Smartphone"/>
    <s v="Electronics"/>
    <n v="2"/>
    <n v="699.99"/>
    <s v="Debit Card"/>
    <s v="Central"/>
    <s v="Premium"/>
    <d v="2022-11-05T00:00:00"/>
    <n v="1399.98"/>
    <n v="1"/>
    <d v="2026-03-24T22:33:56"/>
  </r>
  <r>
    <d v="2024-09-06T00:00:00"/>
    <s v="CUST031"/>
    <x v="26"/>
    <s v="P005"/>
    <s v="Blender"/>
    <s v="Appliances"/>
    <n v="3"/>
    <n v="59.99"/>
    <s v="Credit Card"/>
    <s v="Central"/>
    <s v="Premium"/>
    <d v="2022-06-05T00:00:00"/>
    <n v="179.97"/>
    <n v="2"/>
    <d v="2026-03-24T22:33:56"/>
  </r>
  <r>
    <d v="2024-09-09T00:00:00"/>
    <s v="CUST002"/>
    <x v="25"/>
    <s v="P005"/>
    <s v="Blender"/>
    <s v="Appliances"/>
    <n v="3"/>
    <n v="59.99"/>
    <s v="PayPal"/>
    <s v="East"/>
    <s v="Standard"/>
    <d v="2022-07-06T00:00:00"/>
    <n v="179.97"/>
    <n v="2"/>
    <d v="2026-03-24T22:33:56"/>
  </r>
  <r>
    <d v="2024-09-09T00:00:00"/>
    <s v="CUST008"/>
    <x v="27"/>
    <s v="P004"/>
    <s v="Coffee Maker"/>
    <s v="Appliances"/>
    <n v="4"/>
    <n v="79.989999999999995"/>
    <s v="Cash"/>
    <s v="North"/>
    <s v="Basic"/>
    <d v="2021-11-30T00:00:00"/>
    <n v="319.95999999999998"/>
    <n v="2"/>
    <d v="2026-03-24T22:33:56"/>
  </r>
  <r>
    <d v="2024-09-10T00:00:00"/>
    <s v="CUST017"/>
    <x v="6"/>
    <s v="P004"/>
    <s v="Coffee Maker"/>
    <s v="Appliances"/>
    <n v="1"/>
    <n v="79.989999999999995"/>
    <s v="Cash"/>
    <s v="West"/>
    <s v="Basic"/>
    <d v="2022-05-12T00:00:00"/>
    <n v="79.989999999999995"/>
    <n v="2"/>
    <d v="2026-03-24T22:33:56"/>
  </r>
  <r>
    <d v="2024-09-12T00:00:00"/>
    <s v="CUST024"/>
    <x v="5"/>
    <s v="P007"/>
    <s v="Desk"/>
    <s v="Furniture"/>
    <n v="3"/>
    <n v="299.99"/>
    <s v="Credit Card"/>
    <s v="Central"/>
    <s v="Premium"/>
    <d v="2021-10-25T00:00:00"/>
    <n v="899.97"/>
    <n v="2"/>
    <d v="2026-03-24T22:33:56"/>
  </r>
  <r>
    <d v="2024-09-13T00:00:00"/>
    <s v="CUST046"/>
    <x v="3"/>
    <s v="P010"/>
    <s v="Keyboard"/>
    <s v="Electronics"/>
    <n v="2"/>
    <n v="89.99"/>
    <s v="Credit Card"/>
    <s v="South"/>
    <s v="Premium"/>
    <d v="2022-03-21T00:00:00"/>
    <n v="179.98"/>
    <n v="2"/>
    <d v="2026-03-24T22:33:56"/>
  </r>
  <r>
    <d v="2024-09-15T00:00:00"/>
    <s v="CUST042"/>
    <x v="43"/>
    <s v="P003"/>
    <s v="Headphones"/>
    <s v="Electronics"/>
    <n v="4"/>
    <n v="149.99"/>
    <s v="Cash"/>
    <s v="North"/>
    <s v="Basic"/>
    <d v="2022-12-14T00:00:00"/>
    <n v="599.96"/>
    <n v="1"/>
    <d v="2026-03-24T22:33:56"/>
  </r>
  <r>
    <d v="2024-09-16T00:00:00"/>
    <s v="CUST026"/>
    <x v="8"/>
    <s v="P009"/>
    <s v="Monitor"/>
    <s v="Electronics"/>
    <n v="2"/>
    <n v="249.99"/>
    <s v="PayPal"/>
    <s v="South"/>
    <s v="Basic"/>
    <d v="2023-03-08T00:00:00"/>
    <n v="499.98"/>
    <n v="1"/>
    <d v="2026-03-24T22:33:56"/>
  </r>
  <r>
    <d v="2024-09-16T00:00:00"/>
    <s v="CUST004"/>
    <x v="31"/>
    <s v="P006"/>
    <s v="Office Chair"/>
    <s v="Furniture"/>
    <n v="4"/>
    <n v="199.99"/>
    <s v="Debit Card"/>
    <s v="East"/>
    <s v="Basic"/>
    <d v="2021-09-19T00:00:00"/>
    <n v="799.96"/>
    <n v="2"/>
    <d v="2026-03-24T22:33:56"/>
  </r>
  <r>
    <d v="2024-09-19T00:00:00"/>
    <s v="CUST019"/>
    <x v="29"/>
    <s v="P010"/>
    <s v="Keyboard"/>
    <s v="Electronics"/>
    <n v="5"/>
    <n v="89.99"/>
    <s v="Credit Card"/>
    <s v="East"/>
    <s v="Premium"/>
    <d v="2021-09-07T00:00:00"/>
    <n v="449.95"/>
    <n v="3"/>
    <d v="2026-03-24T22:33:56"/>
  </r>
  <r>
    <d v="2024-09-19T00:00:00"/>
    <s v="CUST011"/>
    <x v="44"/>
    <s v="P003"/>
    <s v="Headphones"/>
    <s v="Electronics"/>
    <n v="1"/>
    <n v="149.99"/>
    <s v="PayPal"/>
    <s v="East"/>
    <s v="Standard"/>
    <d v="2021-10-13T00:00:00"/>
    <n v="149.99"/>
    <n v="2"/>
    <d v="2026-03-24T22:33:56"/>
  </r>
  <r>
    <d v="2024-09-19T00:00:00"/>
    <s v="CUST041"/>
    <x v="10"/>
    <s v="P002"/>
    <s v="Smartphone"/>
    <s v="Electronics"/>
    <n v="4"/>
    <n v="699.99"/>
    <s v="PayPal"/>
    <s v="South"/>
    <s v="Basic"/>
    <d v="2022-02-26T00:00:00"/>
    <n v="2799.96"/>
    <n v="2"/>
    <d v="2026-03-24T22:33:56"/>
  </r>
  <r>
    <d v="2024-09-24T00:00:00"/>
    <s v="CUST032"/>
    <x v="42"/>
    <s v="P001"/>
    <s v="Laptop"/>
    <s v="Electronics"/>
    <n v="3"/>
    <n v="899.99"/>
    <s v="Credit Card"/>
    <s v="North"/>
    <s v="Standard"/>
    <d v="2023-08-19T00:00:00"/>
    <n v="2699.97"/>
    <n v="1"/>
    <d v="2026-03-24T22:33:56"/>
  </r>
  <r>
    <d v="2024-09-25T00:00:00"/>
    <s v="CUST014"/>
    <x v="21"/>
    <s v="P008"/>
    <s v="Bookshelf"/>
    <s v="Furniture"/>
    <n v="3"/>
    <n v="149.99"/>
    <s v="PayPal"/>
    <s v="East"/>
    <s v="Basic"/>
    <d v="2022-11-21T00:00:00"/>
    <n v="449.97"/>
    <n v="1"/>
    <d v="2026-03-24T22:33:56"/>
  </r>
  <r>
    <d v="2024-09-28T00:00:00"/>
    <s v="CUST012"/>
    <x v="18"/>
    <s v="P007"/>
    <s v="Desk"/>
    <s v="Furniture"/>
    <n v="2"/>
    <n v="299.99"/>
    <s v="Debit Card"/>
    <s v="Central"/>
    <s v="Basic"/>
    <d v="2022-01-08T00:00:00"/>
    <n v="599.98"/>
    <n v="2"/>
    <d v="2026-03-24T22:33:56"/>
  </r>
  <r>
    <d v="2024-09-29T00:00:00"/>
    <s v="CUST015"/>
    <x v="45"/>
    <s v="P006"/>
    <s v="Office Chair"/>
    <s v="Furniture"/>
    <n v="1"/>
    <n v="199.99"/>
    <s v="Debit Card"/>
    <s v="East"/>
    <s v="Standard"/>
    <d v="2023-01-27T00:00:00"/>
    <n v="199.99"/>
    <n v="1"/>
    <d v="2026-03-24T22:33:56"/>
  </r>
  <r>
    <d v="2024-10-01T00:00:00"/>
    <s v="CUST003"/>
    <x v="4"/>
    <s v="P007"/>
    <s v="Desk"/>
    <s v="Furniture"/>
    <n v="4"/>
    <n v="299.99"/>
    <s v="Cash"/>
    <s v="Central"/>
    <s v="Premium"/>
    <d v="2021-09-21T00:00:00"/>
    <n v="1199.96"/>
    <n v="3"/>
    <d v="2026-03-24T22:33:56"/>
  </r>
  <r>
    <d v="2024-10-07T00:00:00"/>
    <s v="CUST010"/>
    <x v="15"/>
    <s v="P005"/>
    <s v="Blender"/>
    <s v="Appliances"/>
    <n v="2"/>
    <n v="59.99"/>
    <s v="Credit Card"/>
    <s v="Central"/>
    <s v="Basic"/>
    <d v="2022-01-18T00:00:00"/>
    <n v="119.98"/>
    <n v="2"/>
    <d v="2026-03-24T22:33:56"/>
  </r>
  <r>
    <d v="2024-10-07T00:00:00"/>
    <s v="CUST032"/>
    <x v="42"/>
    <s v="P003"/>
    <s v="Headphones"/>
    <s v="Electronics"/>
    <n v="4"/>
    <n v="149.99"/>
    <s v="Credit Card"/>
    <s v="North"/>
    <s v="Premium"/>
    <d v="2023-05-30T00:00:00"/>
    <n v="599.96"/>
    <n v="1"/>
    <d v="2026-03-24T22:33:56"/>
  </r>
  <r>
    <d v="2024-10-08T00:00:00"/>
    <s v="CUST016"/>
    <x v="39"/>
    <s v="P002"/>
    <s v="Smartphone"/>
    <s v="Electronics"/>
    <n v="2"/>
    <n v="699.99"/>
    <s v="Debit Card"/>
    <s v="East"/>
    <s v="Premium"/>
    <d v="2023-12-14T00:00:00"/>
    <n v="1399.98"/>
    <n v="0"/>
    <d v="2026-03-24T22:33:56"/>
  </r>
  <r>
    <d v="2024-10-08T00:00:00"/>
    <s v="CUST034"/>
    <x v="41"/>
    <s v="P008"/>
    <s v="Bookshelf"/>
    <s v="Furniture"/>
    <n v="3"/>
    <n v="149.99"/>
    <s v="Credit Card"/>
    <s v="South"/>
    <s v="Standard"/>
    <d v="2023-01-14T00:00:00"/>
    <n v="449.97"/>
    <n v="1"/>
    <d v="2026-03-24T22:33:56"/>
  </r>
  <r>
    <d v="2024-10-11T00:00:00"/>
    <s v="CUST019"/>
    <x v="29"/>
    <s v="P007"/>
    <s v="Desk"/>
    <s v="Furniture"/>
    <n v="3"/>
    <n v="299.99"/>
    <s v="Credit Card"/>
    <s v="Central"/>
    <s v="Standard"/>
    <d v="2023-09-05T00:00:00"/>
    <n v="899.97"/>
    <n v="1"/>
    <d v="2026-03-24T22:33:56"/>
  </r>
  <r>
    <d v="2024-10-14T00:00:00"/>
    <s v="CUST027"/>
    <x v="13"/>
    <s v="P001"/>
    <s v="Laptop"/>
    <s v="Electronics"/>
    <n v="3"/>
    <n v="899.99"/>
    <s v="PayPal"/>
    <s v="West"/>
    <s v="Basic"/>
    <d v="2023-10-16T00:00:00"/>
    <n v="2699.97"/>
    <n v="0"/>
    <d v="2026-03-24T22:33:56"/>
  </r>
  <r>
    <d v="2024-10-16T00:00:00"/>
    <s v="CUST018"/>
    <x v="17"/>
    <s v="P002"/>
    <s v="Smartphone"/>
    <s v="Electronics"/>
    <n v="5"/>
    <n v="699.99"/>
    <s v="Cash"/>
    <s v="East"/>
    <s v="Standard"/>
    <d v="2023-03-23T00:00:00"/>
    <n v="3499.95"/>
    <n v="1"/>
    <d v="2026-03-24T22:33:56"/>
  </r>
  <r>
    <d v="2024-10-16T00:00:00"/>
    <s v="CUST049"/>
    <x v="34"/>
    <s v="P002"/>
    <s v="Smartphone"/>
    <s v="Electronics"/>
    <n v="4"/>
    <n v="699.99"/>
    <s v="Credit Card"/>
    <s v="Central"/>
    <s v="Basic"/>
    <d v="2024-04-03T00:00:00"/>
    <n v="2799.96"/>
    <n v="0"/>
    <d v="2026-03-24T22:33:56"/>
  </r>
  <r>
    <d v="2024-10-16T00:00:00"/>
    <s v="CUST040"/>
    <x v="30"/>
    <s v="P001"/>
    <s v="Laptop"/>
    <s v="Electronics"/>
    <n v="1"/>
    <n v="899.99"/>
    <s v="Credit Card"/>
    <s v="East"/>
    <s v="Standard"/>
    <d v="2024-03-18T00:00:00"/>
    <n v="899.99"/>
    <n v="0"/>
    <d v="2026-03-24T22:33:56"/>
  </r>
  <r>
    <d v="2024-10-18T00:00:00"/>
    <s v="CUST039"/>
    <x v="40"/>
    <s v="P003"/>
    <s v="Headphones"/>
    <s v="Electronics"/>
    <n v="2"/>
    <n v="149.99"/>
    <s v="Credit Card"/>
    <s v="West"/>
    <s v="Basic"/>
    <d v="2022-12-21T00:00:00"/>
    <n v="299.98"/>
    <n v="1"/>
    <d v="2026-03-24T22:33:56"/>
  </r>
  <r>
    <d v="2024-10-21T00:00:00"/>
    <s v="CUST039"/>
    <x v="40"/>
    <s v="P010"/>
    <s v="Keyboard"/>
    <s v="Electronics"/>
    <n v="3"/>
    <n v="89.99"/>
    <s v="PayPal"/>
    <s v="Central"/>
    <s v="Basic"/>
    <d v="2021-12-21T00:00:00"/>
    <n v="269.97000000000003"/>
    <n v="2"/>
    <d v="2026-03-24T22:33:56"/>
  </r>
  <r>
    <d v="2024-10-23T00:00:00"/>
    <s v="CUST046"/>
    <x v="3"/>
    <s v="P003"/>
    <s v="Headphones"/>
    <s v="Electronics"/>
    <n v="2"/>
    <n v="149.99"/>
    <s v="PayPal"/>
    <s v="Central"/>
    <s v="Basic"/>
    <d v="2021-10-04T00:00:00"/>
    <n v="299.98"/>
    <n v="3"/>
    <d v="2026-03-24T22:33:56"/>
  </r>
  <r>
    <d v="2024-10-23T00:00:00"/>
    <s v="CUST004"/>
    <x v="31"/>
    <s v="P002"/>
    <s v="Smartphone"/>
    <s v="Electronics"/>
    <n v="2"/>
    <n v="699.99"/>
    <s v="Cash"/>
    <s v="Central"/>
    <s v="Basic"/>
    <d v="2023-03-07T00:00:00"/>
    <n v="1399.98"/>
    <n v="1"/>
    <d v="2026-03-24T22:33:56"/>
  </r>
  <r>
    <d v="2024-10-24T00:00:00"/>
    <s v="CUST028"/>
    <x v="32"/>
    <s v="P002"/>
    <s v="Smartphone"/>
    <s v="Electronics"/>
    <n v="5"/>
    <n v="699.99"/>
    <s v="Cash"/>
    <s v="North"/>
    <s v="Premium"/>
    <d v="2022-03-15T00:00:00"/>
    <n v="3499.95"/>
    <n v="2"/>
    <d v="2026-03-24T22:33:56"/>
  </r>
  <r>
    <d v="2024-10-27T00:00:00"/>
    <s v="CUST049"/>
    <x v="34"/>
    <s v="P010"/>
    <s v="Keyboard"/>
    <s v="Electronics"/>
    <n v="3"/>
    <n v="89.99"/>
    <s v="Credit Card"/>
    <s v="North"/>
    <s v="Standard"/>
    <d v="2022-02-23T00:00:00"/>
    <n v="269.97000000000003"/>
    <n v="2"/>
    <d v="2026-03-24T22:33:56"/>
  </r>
  <r>
    <d v="2024-11-01T00:00:00"/>
    <s v="CUST023"/>
    <x v="0"/>
    <s v="P009"/>
    <s v="Monitor"/>
    <s v="Electronics"/>
    <n v="5"/>
    <n v="249.99"/>
    <s v="Credit Card"/>
    <s v="South"/>
    <s v="Standard"/>
    <d v="2022-11-16T00:00:00"/>
    <n v="1249.95"/>
    <n v="1"/>
    <d v="2026-03-24T22:33:56"/>
  </r>
  <r>
    <d v="2024-11-04T00:00:00"/>
    <s v="CUST026"/>
    <x v="8"/>
    <s v="P007"/>
    <s v="Desk"/>
    <s v="Furniture"/>
    <n v="3"/>
    <n v="299.99"/>
    <s v="Credit Card"/>
    <s v="South"/>
    <s v="Standard"/>
    <d v="2021-11-02T00:00:00"/>
    <n v="899.97"/>
    <n v="3"/>
    <d v="2026-03-24T22:33:56"/>
  </r>
  <r>
    <d v="2024-11-07T00:00:00"/>
    <s v="CUST012"/>
    <x v="18"/>
    <s v="P010"/>
    <s v="Keyboard"/>
    <s v="Electronics"/>
    <n v="3"/>
    <n v="89.99"/>
    <s v="Credit Card"/>
    <s v="North"/>
    <s v="Premium"/>
    <d v="2021-08-12T00:00:00"/>
    <n v="269.97000000000003"/>
    <n v="3"/>
    <d v="2026-03-24T22:33:56"/>
  </r>
  <r>
    <d v="2024-11-08T00:00:00"/>
    <s v="CUST010"/>
    <x v="15"/>
    <s v="P008"/>
    <s v="Bookshelf"/>
    <s v="Furniture"/>
    <n v="2"/>
    <n v="149.99"/>
    <s v="Credit Card"/>
    <s v="West"/>
    <s v="Premium"/>
    <d v="2022-10-14T00:00:00"/>
    <n v="299.98"/>
    <n v="2"/>
    <d v="2026-03-24T22:33:56"/>
  </r>
  <r>
    <d v="2024-11-09T00:00:00"/>
    <s v="CUST020"/>
    <x v="36"/>
    <s v="P009"/>
    <s v="Monitor"/>
    <s v="Electronics"/>
    <n v="1"/>
    <n v="249.99"/>
    <s v="Credit Card"/>
    <s v="North"/>
    <s v="Premium"/>
    <d v="2022-09-24T00:00:00"/>
    <n v="249.99"/>
    <n v="2"/>
    <d v="2026-03-24T22:33:56"/>
  </r>
  <r>
    <d v="2024-11-11T00:00:00"/>
    <s v="CUST041"/>
    <x v="10"/>
    <s v="P003"/>
    <s v="Headphones"/>
    <s v="Electronics"/>
    <n v="3"/>
    <n v="149.99"/>
    <s v="Cash"/>
    <s v="North"/>
    <s v="Basic"/>
    <d v="2022-07-27T00:00:00"/>
    <n v="449.97"/>
    <n v="2"/>
    <d v="2026-03-24T22:33:56"/>
  </r>
  <r>
    <d v="2024-11-11T00:00:00"/>
    <s v="CUST023"/>
    <x v="0"/>
    <s v="P005"/>
    <s v="Blender"/>
    <s v="Appliances"/>
    <n v="5"/>
    <n v="59.99"/>
    <s v="PayPal"/>
    <s v="West"/>
    <s v="Premium"/>
    <d v="2022-05-13T00:00:00"/>
    <n v="299.95"/>
    <n v="2"/>
    <d v="2026-03-24T22:33:56"/>
  </r>
  <r>
    <d v="2024-11-11T00:00:00"/>
    <s v="CUST012"/>
    <x v="18"/>
    <s v="P009"/>
    <s v="Monitor"/>
    <s v="Electronics"/>
    <n v="4"/>
    <n v="249.99"/>
    <s v="Credit Card"/>
    <s v="West"/>
    <s v="Standard"/>
    <d v="2022-04-08T00:00:00"/>
    <n v="999.96"/>
    <n v="2"/>
    <d v="2026-03-24T22:33:56"/>
  </r>
  <r>
    <d v="2024-11-12T00:00:00"/>
    <s v="CUST004"/>
    <x v="31"/>
    <s v="P008"/>
    <s v="Bookshelf"/>
    <s v="Furniture"/>
    <n v="5"/>
    <n v="149.99"/>
    <s v="PayPal"/>
    <s v="Central"/>
    <s v="Basic"/>
    <d v="2022-12-06T00:00:00"/>
    <n v="749.95"/>
    <n v="1"/>
    <d v="2026-03-24T22:33:56"/>
  </r>
  <r>
    <d v="2024-11-12T00:00:00"/>
    <s v="CUST027"/>
    <x v="13"/>
    <s v="P005"/>
    <s v="Blender"/>
    <s v="Appliances"/>
    <n v="3"/>
    <n v="59.99"/>
    <s v="Debit Card"/>
    <s v="South"/>
    <s v="Standard"/>
    <d v="2023-11-30T00:00:00"/>
    <n v="179.97"/>
    <n v="0"/>
    <d v="2026-03-24T22:33:56"/>
  </r>
  <r>
    <d v="2024-11-17T00:00:00"/>
    <s v="CUST032"/>
    <x v="42"/>
    <s v="P008"/>
    <s v="Bookshelf"/>
    <s v="Furniture"/>
    <n v="5"/>
    <n v="149.99"/>
    <s v="Cash"/>
    <s v="North"/>
    <s v="Basic"/>
    <d v="2022-11-04T00:00:00"/>
    <n v="749.95"/>
    <n v="2"/>
    <d v="2026-03-24T22:33:56"/>
  </r>
  <r>
    <d v="2024-11-17T00:00:00"/>
    <s v="CUST025"/>
    <x v="14"/>
    <s v="P002"/>
    <s v="Smartphone"/>
    <s v="Electronics"/>
    <n v="2"/>
    <n v="699.99"/>
    <s v="PayPal"/>
    <s v="West"/>
    <s v="Standard"/>
    <d v="2022-07-28T00:00:00"/>
    <n v="1399.98"/>
    <n v="2"/>
    <d v="2026-03-24T22:33:56"/>
  </r>
  <r>
    <d v="2024-11-21T00:00:00"/>
    <s v="CUST029"/>
    <x v="23"/>
    <s v="P006"/>
    <s v="Office Chair"/>
    <s v="Furniture"/>
    <n v="4"/>
    <n v="199.99"/>
    <s v="Debit Card"/>
    <s v="Central"/>
    <s v="Premium"/>
    <d v="2021-08-19T00:00:00"/>
    <n v="799.96"/>
    <n v="3"/>
    <d v="2026-03-24T22:33:56"/>
  </r>
  <r>
    <d v="2024-11-23T00:00:00"/>
    <s v="CUST033"/>
    <x v="37"/>
    <s v="P005"/>
    <s v="Blender"/>
    <s v="Appliances"/>
    <n v="1"/>
    <n v="59.99"/>
    <s v="Debit Card"/>
    <s v="West"/>
    <s v="Standard"/>
    <d v="2021-12-30T00:00:00"/>
    <n v="59.99"/>
    <n v="2"/>
    <d v="2026-03-24T22:33:56"/>
  </r>
  <r>
    <d v="2024-11-23T00:00:00"/>
    <s v="CUST004"/>
    <x v="31"/>
    <s v="P002"/>
    <s v="Smartphone"/>
    <s v="Electronics"/>
    <n v="3"/>
    <n v="699.99"/>
    <s v="PayPal"/>
    <s v="West"/>
    <s v="Standard"/>
    <d v="2022-01-22T00:00:00"/>
    <n v="2099.9699999999998"/>
    <n v="2"/>
    <d v="2026-03-24T22:33:56"/>
  </r>
  <r>
    <d v="2024-11-26T00:00:00"/>
    <s v="CUST045"/>
    <x v="46"/>
    <s v="P009"/>
    <s v="Monitor"/>
    <s v="Electronics"/>
    <n v="5"/>
    <n v="249.99"/>
    <s v="Credit Card"/>
    <s v="North"/>
    <s v="Basic"/>
    <d v="2022-11-08T00:00:00"/>
    <n v="1249.95"/>
    <n v="2"/>
    <d v="2026-03-24T22:33:56"/>
  </r>
  <r>
    <d v="2024-11-27T00:00:00"/>
    <s v="CUST014"/>
    <x v="21"/>
    <s v="P008"/>
    <s v="Bookshelf"/>
    <s v="Furniture"/>
    <n v="2"/>
    <n v="149.99"/>
    <s v="Cash"/>
    <s v="South"/>
    <s v="Standard"/>
    <d v="2023-06-24T00:00:00"/>
    <n v="299.98"/>
    <n v="1"/>
    <d v="2026-03-24T22:33:56"/>
  </r>
  <r>
    <d v="2024-12-01T00:00:00"/>
    <s v="CUST021"/>
    <x v="2"/>
    <s v="P007"/>
    <s v="Desk"/>
    <s v="Furniture"/>
    <n v="3"/>
    <n v="299.99"/>
    <s v="Cash"/>
    <s v="South"/>
    <s v="Premium"/>
    <d v="2022-04-08T00:00:00"/>
    <n v="899.97"/>
    <n v="2"/>
    <d v="2026-03-24T22:33:56"/>
  </r>
  <r>
    <d v="2024-12-01T00:00:00"/>
    <s v="CUST017"/>
    <x v="6"/>
    <s v="P009"/>
    <s v="Monitor"/>
    <s v="Electronics"/>
    <n v="5"/>
    <n v="249.99"/>
    <s v="Cash"/>
    <s v="Central"/>
    <s v="Premium"/>
    <d v="2021-10-16T00:00:00"/>
    <n v="1249.95"/>
    <n v="3"/>
    <d v="2026-03-24T22:33:56"/>
  </r>
  <r>
    <d v="2024-12-01T00:00:00"/>
    <s v="CUST013"/>
    <x v="1"/>
    <s v="P003"/>
    <s v="Headphones"/>
    <s v="Electronics"/>
    <n v="2"/>
    <n v="149.99"/>
    <s v="Cash"/>
    <s v="South"/>
    <s v="Premium"/>
    <d v="2021-10-06T00:00:00"/>
    <n v="299.98"/>
    <n v="3"/>
    <d v="2026-03-24T22:33:56"/>
  </r>
  <r>
    <d v="2024-12-01T00:00:00"/>
    <s v="CUST025"/>
    <x v="14"/>
    <s v="P002"/>
    <s v="Smartphone"/>
    <s v="Electronics"/>
    <n v="5"/>
    <n v="699.99"/>
    <s v="Debit Card"/>
    <s v="West"/>
    <s v="Standard"/>
    <d v="2023-01-18T00:00:00"/>
    <n v="3499.95"/>
    <n v="1"/>
    <d v="2026-03-24T22:33:56"/>
  </r>
  <r>
    <d v="2024-12-03T00:00:00"/>
    <s v="CUST011"/>
    <x v="44"/>
    <s v="P009"/>
    <s v="Monitor"/>
    <s v="Electronics"/>
    <n v="4"/>
    <n v="249.99"/>
    <s v="PayPal"/>
    <s v="East"/>
    <s v="Premium"/>
    <d v="2023-06-21T00:00:00"/>
    <n v="999.96"/>
    <n v="1"/>
    <d v="2026-03-24T22:33:56"/>
  </r>
  <r>
    <d v="2024-12-04T00:00:00"/>
    <s v="CUST024"/>
    <x v="5"/>
    <s v="P002"/>
    <s v="Smartphone"/>
    <s v="Electronics"/>
    <n v="4"/>
    <n v="699.99"/>
    <s v="Credit Card"/>
    <s v="North"/>
    <s v="Premium"/>
    <d v="2022-05-22T00:00:00"/>
    <n v="2799.96"/>
    <n v="2"/>
    <d v="2026-03-24T22:33:56"/>
  </r>
  <r>
    <d v="2024-12-09T00:00:00"/>
    <s v="CUST036"/>
    <x v="20"/>
    <s v="P009"/>
    <s v="Monitor"/>
    <s v="Electronics"/>
    <n v="2"/>
    <n v="249.99"/>
    <s v="Credit Card"/>
    <s v="Central"/>
    <s v="Premium"/>
    <d v="2021-07-19T00:00:00"/>
    <n v="499.98"/>
    <n v="3"/>
    <d v="2026-03-24T22:33:56"/>
  </r>
  <r>
    <d v="2024-12-09T00:00:00"/>
    <s v="CUST005"/>
    <x v="47"/>
    <s v="P005"/>
    <s v="Blender"/>
    <s v="Appliances"/>
    <n v="3"/>
    <n v="59.99"/>
    <s v="Cash"/>
    <s v="Central"/>
    <s v="Premium"/>
    <d v="2023-05-06T00:00:00"/>
    <n v="179.97"/>
    <n v="1"/>
    <d v="2026-03-24T22:33:56"/>
  </r>
  <r>
    <d v="2024-12-09T00:00:00"/>
    <s v="CUST008"/>
    <x v="27"/>
    <s v="P004"/>
    <s v="Coffee Maker"/>
    <s v="Appliances"/>
    <n v="4"/>
    <n v="79.989999999999995"/>
    <s v="Debit Card"/>
    <s v="East"/>
    <s v="Standard"/>
    <d v="2022-12-26T00:00:00"/>
    <n v="319.95999999999998"/>
    <n v="1"/>
    <d v="2026-03-24T22:33:56"/>
  </r>
  <r>
    <d v="2024-12-10T00:00:00"/>
    <s v="CUST030"/>
    <x v="22"/>
    <s v="P004"/>
    <s v="Coffee Maker"/>
    <s v="Appliances"/>
    <n v="3"/>
    <n v="79.989999999999995"/>
    <s v="Debit Card"/>
    <s v="East"/>
    <s v="Standard"/>
    <d v="2022-08-06T00:00:00"/>
    <n v="239.97"/>
    <n v="2"/>
    <d v="2026-03-24T22:33:56"/>
  </r>
  <r>
    <d v="2024-12-12T00:00:00"/>
    <s v="CUST041"/>
    <x v="10"/>
    <s v="P001"/>
    <s v="Laptop"/>
    <s v="Electronics"/>
    <n v="2"/>
    <n v="899.99"/>
    <s v="Cash"/>
    <s v="North"/>
    <s v="Basic"/>
    <d v="2021-07-29T00:00:00"/>
    <n v="1799.98"/>
    <n v="3"/>
    <d v="2026-03-24T22:33:56"/>
  </r>
  <r>
    <d v="2024-12-15T00:00:00"/>
    <s v="CUST007"/>
    <x v="35"/>
    <s v="P008"/>
    <s v="Bookshelf"/>
    <s v="Furniture"/>
    <n v="1"/>
    <n v="149.99"/>
    <s v="Debit Card"/>
    <s v="East"/>
    <s v="Standard"/>
    <d v="2023-10-01T00:00:00"/>
    <n v="149.99"/>
    <n v="1"/>
    <d v="2026-03-24T22:33:56"/>
  </r>
  <r>
    <d v="2024-12-15T00:00:00"/>
    <s v="CUST031"/>
    <x v="26"/>
    <s v="P007"/>
    <s v="Desk"/>
    <s v="Furniture"/>
    <n v="2"/>
    <n v="299.99"/>
    <s v="Cash"/>
    <s v="East"/>
    <s v="Premium"/>
    <d v="2022-06-12T00:00:00"/>
    <n v="599.98"/>
    <n v="2"/>
    <d v="2026-03-24T22:33:56"/>
  </r>
  <r>
    <d v="2024-12-18T00:00:00"/>
    <s v="CUST002"/>
    <x v="25"/>
    <s v="P005"/>
    <s v="Blender"/>
    <s v="Appliances"/>
    <n v="2"/>
    <n v="59.99"/>
    <s v="Cash"/>
    <s v="West"/>
    <s v="Basic"/>
    <d v="2023-09-22T00:00:00"/>
    <n v="119.98"/>
    <n v="1"/>
    <d v="2026-03-24T22:33:56"/>
  </r>
  <r>
    <d v="2024-12-19T00:00:00"/>
    <s v="CUST007"/>
    <x v="35"/>
    <s v="P010"/>
    <s v="Keyboard"/>
    <s v="Electronics"/>
    <n v="1"/>
    <n v="89.99"/>
    <s v="Debit Card"/>
    <s v="Central"/>
    <s v="Standard"/>
    <d v="2022-07-18T00:00:00"/>
    <n v="89.99"/>
    <n v="2"/>
    <d v="2026-03-24T22:33:56"/>
  </r>
  <r>
    <d v="2024-12-19T00:00:00"/>
    <s v="CUST019"/>
    <x v="29"/>
    <s v="P001"/>
    <s v="Laptop"/>
    <s v="Electronics"/>
    <n v="5"/>
    <n v="899.99"/>
    <s v="Debit Card"/>
    <s v="East"/>
    <s v="Standard"/>
    <d v="2022-03-05T00:00:00"/>
    <n v="4499.95"/>
    <n v="2"/>
    <d v="2026-03-24T22:33:56"/>
  </r>
  <r>
    <d v="2024-12-20T00:00:00"/>
    <s v="CUST003"/>
    <x v="4"/>
    <s v="P008"/>
    <s v="Bookshelf"/>
    <s v="Furniture"/>
    <n v="2"/>
    <n v="149.99"/>
    <s v="Cash"/>
    <s v="South"/>
    <s v="Basic"/>
    <d v="2023-11-09T00:00:00"/>
    <n v="299.98"/>
    <n v="1"/>
    <d v="2026-03-24T22:33:56"/>
  </r>
  <r>
    <d v="2024-12-22T00:00:00"/>
    <s v="CUST014"/>
    <x v="21"/>
    <s v="P003"/>
    <s v="Headphones"/>
    <s v="Electronics"/>
    <n v="2"/>
    <n v="149.99"/>
    <s v="Debit Card"/>
    <s v="West"/>
    <s v="Premium"/>
    <d v="2023-12-20T00:00:00"/>
    <n v="299.98"/>
    <n v="1"/>
    <d v="2026-03-24T22:33:56"/>
  </r>
  <r>
    <d v="2024-12-22T00:00:00"/>
    <s v="CUST007"/>
    <x v="35"/>
    <s v="P008"/>
    <s v="Bookshelf"/>
    <s v="Furniture"/>
    <n v="3"/>
    <n v="149.99"/>
    <s v="Debit Card"/>
    <s v="North"/>
    <s v="Standard"/>
    <d v="2021-11-22T00:00:00"/>
    <n v="449.97"/>
    <n v="3"/>
    <d v="2026-03-24T22:33:56"/>
  </r>
  <r>
    <d v="2024-12-23T00:00:00"/>
    <s v="CUST021"/>
    <x v="2"/>
    <s v="P007"/>
    <s v="Desk"/>
    <s v="Furniture"/>
    <n v="2"/>
    <n v="299.99"/>
    <s v="PayPal"/>
    <s v="South"/>
    <s v="Basic"/>
    <d v="2022-06-09T00:00:00"/>
    <n v="599.98"/>
    <n v="2"/>
    <d v="2026-03-24T22:33:56"/>
  </r>
  <r>
    <d v="2024-12-28T00:00:00"/>
    <s v="CUST003"/>
    <x v="4"/>
    <s v="P007"/>
    <s v="Desk"/>
    <s v="Furniture"/>
    <n v="2"/>
    <n v="299.99"/>
    <s v="Cash"/>
    <s v="West"/>
    <s v="Basic"/>
    <d v="2022-07-29T00:00:00"/>
    <n v="599.98"/>
    <n v="2"/>
    <d v="2026-03-24T22:33:56"/>
  </r>
  <r>
    <d v="2024-12-28T00:00:00"/>
    <s v="CUST030"/>
    <x v="22"/>
    <s v="P006"/>
    <s v="Office Chair"/>
    <s v="Furniture"/>
    <n v="4"/>
    <n v="199.99"/>
    <s v="Credit Card"/>
    <s v="Central"/>
    <s v="Basic"/>
    <d v="2021-11-23T00:00:00"/>
    <n v="799.96"/>
    <n v="3"/>
    <d v="2026-03-24T22:33:56"/>
  </r>
  <r>
    <d v="2024-12-29T00:00:00"/>
    <s v="CUST009"/>
    <x v="7"/>
    <s v="P010"/>
    <s v="Keyboard"/>
    <s v="Electronics"/>
    <n v="1"/>
    <n v="89.99"/>
    <s v="Credit Card"/>
    <s v="South"/>
    <s v="Premium"/>
    <d v="2022-01-30T00:00:00"/>
    <n v="89.99"/>
    <n v="2"/>
    <d v="2026-03-24T22:33:56"/>
  </r>
  <r>
    <d v="2024-12-29T00:00:00"/>
    <s v="CUST036"/>
    <x v="20"/>
    <s v="P008"/>
    <s v="Bookshelf"/>
    <s v="Furniture"/>
    <n v="5"/>
    <n v="149.99"/>
    <s v="Cash"/>
    <s v="Central"/>
    <s v="Premium"/>
    <d v="2024-02-25T00:00:00"/>
    <n v="749.95"/>
    <n v="0"/>
    <d v="2026-03-24T22:33:56"/>
  </r>
  <r>
    <d v="2024-12-31T00:00:00"/>
    <s v="CUST025"/>
    <x v="14"/>
    <s v="P001"/>
    <s v="Laptop"/>
    <s v="Electronics"/>
    <n v="1"/>
    <n v="899.99"/>
    <s v="PayPal"/>
    <s v="North"/>
    <s v="Premium"/>
    <d v="2023-05-04T00:00:00"/>
    <n v="899.99"/>
    <n v="1"/>
    <d v="2026-03-24T22:33:56"/>
  </r>
  <r>
    <d v="2025-01-03T00:00:00"/>
    <s v="CUST019"/>
    <x v="29"/>
    <s v="P010"/>
    <s v="Keyboard"/>
    <s v="Electronics"/>
    <n v="2"/>
    <n v="89.99"/>
    <s v="Credit Card"/>
    <s v="South"/>
    <s v="Premium"/>
    <d v="2022-01-03T00:00:00"/>
    <n v="179.98"/>
    <n v="3"/>
    <d v="2026-03-24T22:33:56"/>
  </r>
  <r>
    <d v="2025-01-04T00:00:00"/>
    <s v="CUST037"/>
    <x v="48"/>
    <s v="P001"/>
    <s v="Laptop"/>
    <s v="Electronics"/>
    <n v="1"/>
    <n v="899.99"/>
    <s v="PayPal"/>
    <s v="North"/>
    <s v="Standard"/>
    <d v="2022-07-10T00:00:00"/>
    <n v="899.99"/>
    <n v="2"/>
    <d v="2026-03-24T22:33:56"/>
  </r>
  <r>
    <d v="2025-01-06T00:00:00"/>
    <s v="CUST006"/>
    <x v="24"/>
    <s v="P003"/>
    <s v="Headphones"/>
    <s v="Electronics"/>
    <n v="5"/>
    <n v="149.99"/>
    <s v="PayPal"/>
    <s v="East"/>
    <s v="Premium"/>
    <d v="2022-09-20T00:00:00"/>
    <n v="749.95"/>
    <n v="2"/>
    <d v="2026-03-24T22:33:56"/>
  </r>
  <r>
    <d v="2025-01-06T00:00:00"/>
    <s v="CUST003"/>
    <x v="4"/>
    <s v="P007"/>
    <s v="Desk"/>
    <s v="Furniture"/>
    <n v="3"/>
    <n v="299.99"/>
    <s v="Cash"/>
    <s v="South"/>
    <s v="Standard"/>
    <d v="2021-08-14T00:00:00"/>
    <n v="899.97"/>
    <n v="3"/>
    <d v="2026-03-24T22:33:56"/>
  </r>
  <r>
    <d v="2025-01-09T00:00:00"/>
    <s v="CUST026"/>
    <x v="8"/>
    <s v="P002"/>
    <s v="Smartphone"/>
    <s v="Electronics"/>
    <n v="3"/>
    <n v="699.99"/>
    <s v="Credit Card"/>
    <s v="Central"/>
    <s v="Premium"/>
    <d v="2023-06-28T00:00:00"/>
    <n v="2099.9699999999998"/>
    <n v="1"/>
    <d v="2026-03-24T22:33:56"/>
  </r>
  <r>
    <d v="2025-01-10T00:00:00"/>
    <s v="CUST036"/>
    <x v="20"/>
    <s v="P006"/>
    <s v="Office Chair"/>
    <s v="Furniture"/>
    <n v="5"/>
    <n v="199.99"/>
    <s v="PayPal"/>
    <s v="Central"/>
    <s v="Standard"/>
    <d v="2022-03-13T00:00:00"/>
    <n v="999.95"/>
    <n v="2"/>
    <d v="2026-03-24T22:33:56"/>
  </r>
  <r>
    <d v="2025-01-10T00:00:00"/>
    <s v="CUST048"/>
    <x v="16"/>
    <s v="P009"/>
    <s v="Monitor"/>
    <s v="Electronics"/>
    <n v="5"/>
    <n v="249.99"/>
    <s v="Credit Card"/>
    <s v="South"/>
    <s v="Basic"/>
    <d v="2024-02-08T00:00:00"/>
    <n v="1249.95"/>
    <n v="0"/>
    <d v="2026-03-24T22:33:56"/>
  </r>
  <r>
    <d v="2025-01-11T00:00:00"/>
    <s v="CUST031"/>
    <x v="26"/>
    <s v="P003"/>
    <s v="Headphones"/>
    <s v="Electronics"/>
    <n v="4"/>
    <n v="149.99"/>
    <s v="Debit Card"/>
    <s v="East"/>
    <s v="Standard"/>
    <d v="2021-12-06T00:00:00"/>
    <n v="599.96"/>
    <n v="3"/>
    <d v="2026-03-24T22:33:56"/>
  </r>
  <r>
    <d v="2025-01-11T00:00:00"/>
    <s v="CUST038"/>
    <x v="12"/>
    <s v="P002"/>
    <s v="Smartphone"/>
    <s v="Electronics"/>
    <n v="3"/>
    <n v="699.99"/>
    <s v="Cash"/>
    <s v="North"/>
    <s v="Premium"/>
    <d v="2022-02-10T00:00:00"/>
    <n v="2099.9699999999998"/>
    <n v="2"/>
    <d v="2026-03-24T22:33:56"/>
  </r>
  <r>
    <d v="2025-01-13T00:00:00"/>
    <s v="CUST045"/>
    <x v="46"/>
    <s v="P004"/>
    <s v="Coffee Maker"/>
    <s v="Appliances"/>
    <n v="1"/>
    <n v="79.989999999999995"/>
    <s v="Credit Card"/>
    <s v="South"/>
    <s v="Basic"/>
    <d v="2024-01-31T00:00:00"/>
    <n v="79.989999999999995"/>
    <n v="0"/>
    <d v="2026-03-24T22:33:56"/>
  </r>
  <r>
    <d v="2025-01-13T00:00:00"/>
    <s v="CUST025"/>
    <x v="14"/>
    <s v="P007"/>
    <s v="Desk"/>
    <s v="Furniture"/>
    <n v="1"/>
    <n v="299.99"/>
    <s v="Credit Card"/>
    <s v="North"/>
    <s v="Basic"/>
    <d v="2021-08-28T00:00:00"/>
    <n v="299.99"/>
    <n v="3"/>
    <d v="2026-03-24T22:33:56"/>
  </r>
  <r>
    <d v="2025-01-14T00:00:00"/>
    <s v="CUST028"/>
    <x v="32"/>
    <s v="P009"/>
    <s v="Monitor"/>
    <s v="Electronics"/>
    <n v="4"/>
    <n v="249.99"/>
    <s v="Credit Card"/>
    <s v="North"/>
    <s v="Premium"/>
    <d v="2021-09-21T00:00:00"/>
    <n v="999.96"/>
    <n v="3"/>
    <d v="2026-03-24T22:33:56"/>
  </r>
  <r>
    <d v="2025-01-14T00:00:00"/>
    <s v="CUST030"/>
    <x v="22"/>
    <s v="P003"/>
    <s v="Headphones"/>
    <s v="Electronics"/>
    <n v="2"/>
    <n v="149.99"/>
    <s v="Cash"/>
    <s v="North"/>
    <s v="Standard"/>
    <d v="2022-12-18T00:00:00"/>
    <n v="299.98"/>
    <n v="2"/>
    <d v="2026-03-24T22:33:56"/>
  </r>
  <r>
    <d v="2025-01-14T00:00:00"/>
    <s v="CUST032"/>
    <x v="42"/>
    <s v="P007"/>
    <s v="Desk"/>
    <s v="Furniture"/>
    <n v="3"/>
    <n v="299.99"/>
    <s v="Credit Card"/>
    <s v="South"/>
    <s v="Basic"/>
    <d v="2023-10-05T00:00:00"/>
    <n v="899.97"/>
    <n v="1"/>
    <d v="2026-03-24T22:33:56"/>
  </r>
  <r>
    <d v="2025-01-16T00:00:00"/>
    <s v="CUST039"/>
    <x v="40"/>
    <s v="P006"/>
    <s v="Office Chair"/>
    <s v="Furniture"/>
    <n v="4"/>
    <n v="199.99"/>
    <s v="Debit Card"/>
    <s v="South"/>
    <s v="Standard"/>
    <d v="2021-12-14T00:00:00"/>
    <n v="799.96"/>
    <n v="3"/>
    <d v="2026-03-24T22:33:56"/>
  </r>
  <r>
    <d v="2025-01-16T00:00:00"/>
    <s v="CUST016"/>
    <x v="39"/>
    <s v="P007"/>
    <s v="Desk"/>
    <s v="Furniture"/>
    <n v="5"/>
    <n v="299.99"/>
    <s v="Debit Card"/>
    <s v="Central"/>
    <s v="Basic"/>
    <d v="2021-08-23T00:00:00"/>
    <n v="1499.95"/>
    <n v="3"/>
    <d v="2026-03-24T22:33:56"/>
  </r>
  <r>
    <d v="2025-01-16T00:00:00"/>
    <s v="CUST009"/>
    <x v="7"/>
    <s v="P008"/>
    <s v="Bookshelf"/>
    <s v="Furniture"/>
    <n v="3"/>
    <n v="149.99"/>
    <s v="Credit Card"/>
    <s v="East"/>
    <s v="Standard"/>
    <d v="2021-07-18T00:00:00"/>
    <n v="449.97"/>
    <n v="3"/>
    <d v="2026-03-24T22:33:56"/>
  </r>
  <r>
    <d v="2025-01-19T00:00:00"/>
    <s v="CUST006"/>
    <x v="24"/>
    <s v="P005"/>
    <s v="Blender"/>
    <s v="Appliances"/>
    <n v="5"/>
    <n v="59.99"/>
    <s v="Debit Card"/>
    <s v="East"/>
    <s v="Basic"/>
    <d v="2022-03-22T00:00:00"/>
    <n v="299.95"/>
    <n v="2"/>
    <d v="2026-03-24T22:33:56"/>
  </r>
  <r>
    <d v="2025-01-25T00:00:00"/>
    <s v="CUST022"/>
    <x v="9"/>
    <s v="P005"/>
    <s v="Blender"/>
    <s v="Appliances"/>
    <n v="4"/>
    <n v="59.99"/>
    <s v="Debit Card"/>
    <s v="East"/>
    <s v="Standard"/>
    <d v="2022-01-03T00:00:00"/>
    <n v="239.96"/>
    <n v="3"/>
    <d v="2026-03-24T22:33:56"/>
  </r>
  <r>
    <d v="2025-01-26T00:00:00"/>
    <s v="CUST024"/>
    <x v="5"/>
    <s v="P009"/>
    <s v="Monitor"/>
    <s v="Electronics"/>
    <n v="4"/>
    <n v="249.99"/>
    <s v="Debit Card"/>
    <s v="Central"/>
    <s v="Premium"/>
    <d v="2023-10-18T00:00:00"/>
    <n v="999.96"/>
    <n v="1"/>
    <d v="2026-03-24T22:33:56"/>
  </r>
  <r>
    <d v="2025-01-29T00:00:00"/>
    <s v="CUST011"/>
    <x v="44"/>
    <s v="P001"/>
    <s v="Laptop"/>
    <s v="Electronics"/>
    <n v="4"/>
    <n v="899.99"/>
    <s v="PayPal"/>
    <s v="Central"/>
    <s v="Basic"/>
    <d v="2022-06-22T00:00:00"/>
    <n v="3599.96"/>
    <n v="2"/>
    <d v="2026-03-24T22:33:56"/>
  </r>
  <r>
    <d v="2025-01-29T00:00:00"/>
    <s v="CUST025"/>
    <x v="14"/>
    <s v="P007"/>
    <s v="Desk"/>
    <s v="Furniture"/>
    <n v="3"/>
    <n v="299.99"/>
    <s v="Debit Card"/>
    <s v="West"/>
    <s v="Standard"/>
    <d v="2023-01-26T00:00:00"/>
    <n v="899.97"/>
    <n v="2"/>
    <d v="2026-03-24T22:33:56"/>
  </r>
  <r>
    <d v="2025-01-29T00:00:00"/>
    <s v="CUST045"/>
    <x v="46"/>
    <s v="P002"/>
    <s v="Smartphone"/>
    <s v="Electronics"/>
    <n v="2"/>
    <n v="699.99"/>
    <s v="Debit Card"/>
    <s v="Central"/>
    <s v="Premium"/>
    <d v="2022-04-30T00:00:00"/>
    <n v="1399.98"/>
    <n v="2"/>
    <d v="2026-03-24T22:33:56"/>
  </r>
  <r>
    <d v="2025-01-31T00:00:00"/>
    <s v="CUST026"/>
    <x v="8"/>
    <s v="P002"/>
    <s v="Smartphone"/>
    <s v="Electronics"/>
    <n v="4"/>
    <n v="699.99"/>
    <s v="Debit Card"/>
    <s v="West"/>
    <s v="Premium"/>
    <d v="2022-05-11T00:00:00"/>
    <n v="2799.96"/>
    <n v="2"/>
    <d v="2026-03-24T22:33:56"/>
  </r>
  <r>
    <d v="2025-01-31T00:00:00"/>
    <s v="CUST029"/>
    <x v="23"/>
    <s v="P010"/>
    <s v="Keyboard"/>
    <s v="Electronics"/>
    <n v="2"/>
    <n v="89.99"/>
    <s v="Debit Card"/>
    <s v="South"/>
    <s v="Basic"/>
    <d v="2022-08-04T00:00:00"/>
    <n v="179.98"/>
    <n v="2"/>
    <d v="2026-03-24T22:33:56"/>
  </r>
  <r>
    <d v="2025-01-31T00:00:00"/>
    <s v="CUST003"/>
    <x v="4"/>
    <s v="P010"/>
    <s v="Keyboard"/>
    <s v="Electronics"/>
    <n v="3"/>
    <n v="89.99"/>
    <s v="Debit Card"/>
    <s v="South"/>
    <s v="Premium"/>
    <d v="2024-01-16T00:00:00"/>
    <n v="269.97000000000003"/>
    <n v="1"/>
    <d v="2026-03-24T22:33:56"/>
  </r>
  <r>
    <d v="2025-02-04T00:00:00"/>
    <s v="CUST037"/>
    <x v="48"/>
    <s v="P005"/>
    <s v="Blender"/>
    <s v="Appliances"/>
    <n v="1"/>
    <n v="59.99"/>
    <s v="Debit Card"/>
    <s v="Central"/>
    <s v="Standard"/>
    <d v="2023-04-29T00:00:00"/>
    <n v="59.99"/>
    <n v="1"/>
    <d v="2026-03-24T22:33:56"/>
  </r>
  <r>
    <d v="2025-02-07T00:00:00"/>
    <s v="CUST042"/>
    <x v="43"/>
    <s v="P008"/>
    <s v="Bookshelf"/>
    <s v="Furniture"/>
    <n v="3"/>
    <n v="149.99"/>
    <s v="Debit Card"/>
    <s v="North"/>
    <s v="Premium"/>
    <d v="2022-01-03T00:00:00"/>
    <n v="449.97"/>
    <n v="3"/>
    <d v="2026-03-24T22:33:56"/>
  </r>
  <r>
    <d v="2025-02-07T00:00:00"/>
    <s v="CUST048"/>
    <x v="16"/>
    <s v="P007"/>
    <s v="Desk"/>
    <s v="Furniture"/>
    <n v="5"/>
    <n v="299.99"/>
    <s v="Credit Card"/>
    <s v="South"/>
    <s v="Basic"/>
    <d v="2023-02-02T00:00:00"/>
    <n v="1499.95"/>
    <n v="2"/>
    <d v="2026-03-24T22:33:56"/>
  </r>
  <r>
    <d v="2025-02-08T00:00:00"/>
    <s v="CUST040"/>
    <x v="30"/>
    <s v="P005"/>
    <s v="Blender"/>
    <s v="Appliances"/>
    <n v="5"/>
    <n v="59.99"/>
    <s v="Debit Card"/>
    <s v="Central"/>
    <s v="Standard"/>
    <d v="2023-09-08T00:00:00"/>
    <n v="299.95"/>
    <n v="1"/>
    <d v="2026-03-24T22:33:56"/>
  </r>
  <r>
    <d v="2025-02-13T00:00:00"/>
    <s v="CUST036"/>
    <x v="20"/>
    <s v="P004"/>
    <s v="Coffee Maker"/>
    <s v="Appliances"/>
    <n v="3"/>
    <n v="79.989999999999995"/>
    <s v="Cash"/>
    <s v="East"/>
    <s v="Premium"/>
    <d v="2021-08-28T00:00:00"/>
    <n v="239.97"/>
    <n v="3"/>
    <d v="2026-03-24T22:33:56"/>
  </r>
  <r>
    <d v="2025-02-16T00:00:00"/>
    <s v="CUST021"/>
    <x v="2"/>
    <s v="P006"/>
    <s v="Office Chair"/>
    <s v="Furniture"/>
    <n v="3"/>
    <n v="199.99"/>
    <s v="Cash"/>
    <s v="Central"/>
    <s v="Basic"/>
    <d v="2022-06-23T00:00:00"/>
    <n v="599.97"/>
    <n v="2"/>
    <d v="2026-03-24T22:33:56"/>
  </r>
  <r>
    <d v="2025-02-16T00:00:00"/>
    <s v="CUST023"/>
    <x v="0"/>
    <s v="P010"/>
    <s v="Keyboard"/>
    <s v="Electronics"/>
    <n v="2"/>
    <n v="89.99"/>
    <s v="PayPal"/>
    <s v="Central"/>
    <s v="Basic"/>
    <d v="2023-11-27T00:00:00"/>
    <n v="179.98"/>
    <n v="1"/>
    <d v="2026-03-24T22:33:56"/>
  </r>
  <r>
    <d v="2025-02-17T00:00:00"/>
    <s v="CUST015"/>
    <x v="45"/>
    <s v="P008"/>
    <s v="Bookshelf"/>
    <s v="Furniture"/>
    <n v="2"/>
    <n v="149.99"/>
    <s v="Cash"/>
    <s v="South"/>
    <s v="Premium"/>
    <d v="2022-06-16T00:00:00"/>
    <n v="299.98"/>
    <n v="2"/>
    <d v="2026-03-24T22:33:56"/>
  </r>
  <r>
    <d v="2025-02-19T00:00:00"/>
    <s v="CUST029"/>
    <x v="23"/>
    <s v="P002"/>
    <s v="Smartphone"/>
    <s v="Electronics"/>
    <n v="5"/>
    <n v="699.99"/>
    <s v="PayPal"/>
    <s v="South"/>
    <s v="Premium"/>
    <d v="2024-03-01T00:00:00"/>
    <n v="3499.95"/>
    <n v="0"/>
    <d v="2026-03-24T22:33:56"/>
  </r>
  <r>
    <d v="2025-02-19T00:00:00"/>
    <s v="CUST003"/>
    <x v="4"/>
    <s v="P008"/>
    <s v="Bookshelf"/>
    <s v="Furniture"/>
    <n v="3"/>
    <n v="149.99"/>
    <s v="PayPal"/>
    <s v="Central"/>
    <s v="Standard"/>
    <d v="2022-03-13T00:00:00"/>
    <n v="449.97"/>
    <n v="2"/>
    <d v="2026-03-24T22:33:56"/>
  </r>
  <r>
    <d v="2025-02-20T00:00:00"/>
    <s v="CUST018"/>
    <x v="17"/>
    <s v="P001"/>
    <s v="Laptop"/>
    <s v="Electronics"/>
    <n v="3"/>
    <n v="899.99"/>
    <s v="Cash"/>
    <s v="East"/>
    <s v="Standard"/>
    <d v="2022-02-21T00:00:00"/>
    <n v="2699.97"/>
    <n v="2"/>
    <d v="2026-03-24T22:33:56"/>
  </r>
  <r>
    <d v="2025-02-20T00:00:00"/>
    <s v="CUST033"/>
    <x v="37"/>
    <s v="P006"/>
    <s v="Office Chair"/>
    <s v="Furniture"/>
    <n v="3"/>
    <n v="199.99"/>
    <s v="Cash"/>
    <s v="West"/>
    <s v="Premium"/>
    <d v="2022-09-19T00:00:00"/>
    <n v="599.97"/>
    <n v="2"/>
    <d v="2026-03-24T22:33:56"/>
  </r>
  <r>
    <d v="2025-02-22T00:00:00"/>
    <s v="CUST017"/>
    <x v="6"/>
    <s v="P007"/>
    <s v="Desk"/>
    <s v="Furniture"/>
    <n v="5"/>
    <n v="299.99"/>
    <s v="Cash"/>
    <s v="West"/>
    <s v="Standard"/>
    <d v="2023-08-04T00:00:00"/>
    <n v="1499.95"/>
    <n v="1"/>
    <d v="2026-03-24T22:33:56"/>
  </r>
  <r>
    <d v="2025-02-22T00:00:00"/>
    <s v="CUST040"/>
    <x v="30"/>
    <s v="P002"/>
    <s v="Smartphone"/>
    <s v="Electronics"/>
    <n v="1"/>
    <n v="699.99"/>
    <s v="PayPal"/>
    <s v="West"/>
    <s v="Basic"/>
    <d v="2023-01-08T00:00:00"/>
    <n v="699.99"/>
    <n v="2"/>
    <d v="2026-03-24T22:33:56"/>
  </r>
  <r>
    <d v="2025-02-23T00:00:00"/>
    <s v="CUST042"/>
    <x v="43"/>
    <s v="P002"/>
    <s v="Smartphone"/>
    <s v="Electronics"/>
    <n v="1"/>
    <n v="699.99"/>
    <s v="Cash"/>
    <s v="North"/>
    <s v="Premium"/>
    <d v="2022-01-22T00:00:00"/>
    <n v="699.99"/>
    <n v="3"/>
    <d v="2026-03-24T22:33:56"/>
  </r>
  <r>
    <d v="2025-02-23T00:00:00"/>
    <s v="CUST037"/>
    <x v="48"/>
    <s v="P008"/>
    <s v="Bookshelf"/>
    <s v="Furniture"/>
    <n v="4"/>
    <n v="149.99"/>
    <s v="PayPal"/>
    <s v="North"/>
    <s v="Premium"/>
    <d v="2021-08-04T00:00:00"/>
    <n v="599.96"/>
    <n v="3"/>
    <d v="2026-03-24T22:33:56"/>
  </r>
  <r>
    <d v="2025-02-23T00:00:00"/>
    <s v="CUST016"/>
    <x v="39"/>
    <s v="P010"/>
    <s v="Keyboard"/>
    <s v="Electronics"/>
    <n v="5"/>
    <n v="89.99"/>
    <s v="PayPal"/>
    <s v="West"/>
    <s v="Premium"/>
    <d v="2023-08-02T00:00:00"/>
    <n v="449.95"/>
    <n v="1"/>
    <d v="2026-03-24T22:33:56"/>
  </r>
  <r>
    <d v="2025-02-24T00:00:00"/>
    <s v="CUST031"/>
    <x v="26"/>
    <s v="P006"/>
    <s v="Office Chair"/>
    <s v="Furniture"/>
    <n v="2"/>
    <n v="199.99"/>
    <s v="Cash"/>
    <s v="Central"/>
    <s v="Premium"/>
    <d v="2022-01-12T00:00:00"/>
    <n v="399.98"/>
    <n v="3"/>
    <d v="2026-03-24T22:33:56"/>
  </r>
  <r>
    <d v="2025-02-27T00:00:00"/>
    <s v="CUST015"/>
    <x v="45"/>
    <s v="P005"/>
    <s v="Blender"/>
    <s v="Appliances"/>
    <n v="4"/>
    <n v="59.99"/>
    <s v="Cash"/>
    <s v="West"/>
    <s v="Standard"/>
    <d v="2023-05-24T00:00:00"/>
    <n v="239.96"/>
    <n v="1"/>
    <d v="2026-03-24T22:33:56"/>
  </r>
  <r>
    <d v="2025-02-27T00:00:00"/>
    <s v="CUST048"/>
    <x v="16"/>
    <s v="P007"/>
    <s v="Desk"/>
    <s v="Furniture"/>
    <n v="2"/>
    <n v="299.99"/>
    <s v="PayPal"/>
    <s v="South"/>
    <s v="Basic"/>
    <d v="2022-01-15T00:00:00"/>
    <n v="599.98"/>
    <n v="3"/>
    <d v="2026-03-24T22:33:56"/>
  </r>
  <r>
    <d v="2025-03-02T00:00:00"/>
    <s v="CUST017"/>
    <x v="6"/>
    <s v="P008"/>
    <s v="Bookshelf"/>
    <s v="Furniture"/>
    <n v="2"/>
    <n v="149.99"/>
    <s v="Cash"/>
    <s v="Central"/>
    <s v="Basic"/>
    <d v="2023-05-22T00:00:00"/>
    <n v="299.98"/>
    <n v="1"/>
    <d v="2026-03-24T22:33:56"/>
  </r>
  <r>
    <d v="2025-03-04T00:00:00"/>
    <s v="CUST039"/>
    <x v="40"/>
    <s v="P002"/>
    <s v="Smartphone"/>
    <s v="Electronics"/>
    <n v="5"/>
    <n v="699.99"/>
    <s v="Debit Card"/>
    <s v="East"/>
    <s v="Premium"/>
    <d v="2023-08-23T00:00:00"/>
    <n v="3499.95"/>
    <n v="1"/>
    <d v="2026-03-24T22:33:56"/>
  </r>
  <r>
    <d v="2025-03-05T00:00:00"/>
    <s v="CUST043"/>
    <x v="11"/>
    <s v="P005"/>
    <s v="Blender"/>
    <s v="Appliances"/>
    <n v="5"/>
    <n v="59.99"/>
    <s v="Cash"/>
    <s v="West"/>
    <s v="Premium"/>
    <d v="2023-12-31T00:00:00"/>
    <n v="299.95"/>
    <n v="1"/>
    <d v="2026-03-24T22:33:56"/>
  </r>
  <r>
    <d v="2025-03-07T00:00:00"/>
    <s v="CUST023"/>
    <x v="0"/>
    <s v="P010"/>
    <s v="Keyboard"/>
    <s v="Electronics"/>
    <n v="2"/>
    <n v="89.99"/>
    <s v="Credit Card"/>
    <s v="West"/>
    <s v="Premium"/>
    <d v="2024-01-04T00:00:00"/>
    <n v="179.98"/>
    <n v="1"/>
    <d v="2026-03-24T22:33:56"/>
  </r>
  <r>
    <d v="2025-03-07T00:00:00"/>
    <s v="CUST030"/>
    <x v="22"/>
    <s v="P009"/>
    <s v="Monitor"/>
    <s v="Electronics"/>
    <n v="5"/>
    <n v="249.99"/>
    <s v="Cash"/>
    <s v="East"/>
    <s v="Standard"/>
    <d v="2021-12-10T00:00:00"/>
    <n v="1249.95"/>
    <n v="3"/>
    <d v="2026-03-24T22:33:56"/>
  </r>
  <r>
    <d v="2025-03-08T00:00:00"/>
    <s v="CUST039"/>
    <x v="40"/>
    <s v="P008"/>
    <s v="Bookshelf"/>
    <s v="Furniture"/>
    <n v="2"/>
    <n v="149.99"/>
    <s v="PayPal"/>
    <s v="Central"/>
    <s v="Premium"/>
    <d v="2022-03-12T00:00:00"/>
    <n v="299.98"/>
    <n v="2"/>
    <d v="2026-03-24T22:33:56"/>
  </r>
  <r>
    <d v="2025-03-08T00:00:00"/>
    <s v="CUST035"/>
    <x v="28"/>
    <s v="P001"/>
    <s v="Laptop"/>
    <s v="Electronics"/>
    <n v="5"/>
    <n v="899.99"/>
    <s v="PayPal"/>
    <s v="East"/>
    <s v="Premium"/>
    <d v="2024-04-07T00:00:00"/>
    <n v="4499.95"/>
    <n v="0"/>
    <d v="2026-03-24T22:33:56"/>
  </r>
  <r>
    <d v="2025-03-08T00:00:00"/>
    <s v="CUST017"/>
    <x v="6"/>
    <s v="P008"/>
    <s v="Bookshelf"/>
    <s v="Furniture"/>
    <n v="4"/>
    <n v="149.99"/>
    <s v="Cash"/>
    <s v="Central"/>
    <s v="Standard"/>
    <d v="2023-12-03T00:00:00"/>
    <n v="599.96"/>
    <n v="1"/>
    <d v="2026-03-24T22:33:56"/>
  </r>
  <r>
    <d v="2025-03-10T00:00:00"/>
    <s v="CUST035"/>
    <x v="28"/>
    <s v="P009"/>
    <s v="Monitor"/>
    <s v="Electronics"/>
    <n v="1"/>
    <n v="249.99"/>
    <s v="Cash"/>
    <s v="North"/>
    <s v="Standard"/>
    <d v="2023-07-10T00:00:00"/>
    <n v="249.99"/>
    <n v="1"/>
    <d v="2026-03-24T22:33:56"/>
  </r>
  <r>
    <d v="2025-03-18T00:00:00"/>
    <s v="CUST033"/>
    <x v="37"/>
    <s v="P005"/>
    <s v="Blender"/>
    <s v="Appliances"/>
    <n v="2"/>
    <n v="59.99"/>
    <s v="Credit Card"/>
    <s v="West"/>
    <s v="Basic"/>
    <d v="2023-09-24T00:00:00"/>
    <n v="119.98"/>
    <n v="1"/>
    <d v="2026-03-24T22:33:56"/>
  </r>
  <r>
    <d v="2025-03-21T00:00:00"/>
    <s v="CUST002"/>
    <x v="25"/>
    <s v="P008"/>
    <s v="Bookshelf"/>
    <s v="Furniture"/>
    <n v="2"/>
    <n v="149.99"/>
    <s v="Cash"/>
    <s v="West"/>
    <s v="Premium"/>
    <d v="2023-11-03T00:00:00"/>
    <n v="299.98"/>
    <n v="1"/>
    <d v="2026-03-24T22:33:56"/>
  </r>
  <r>
    <d v="2025-03-21T00:00:00"/>
    <s v="CUST040"/>
    <x v="30"/>
    <s v="P001"/>
    <s v="Laptop"/>
    <s v="Electronics"/>
    <n v="3"/>
    <n v="899.99"/>
    <s v="Debit Card"/>
    <s v="North"/>
    <s v="Premium"/>
    <d v="2022-11-11T00:00:00"/>
    <n v="2699.97"/>
    <n v="2"/>
    <d v="2026-03-24T22:33:56"/>
  </r>
  <r>
    <d v="2025-03-21T00:00:00"/>
    <s v="CUST024"/>
    <x v="5"/>
    <s v="P001"/>
    <s v="Laptop"/>
    <s v="Electronics"/>
    <n v="3"/>
    <n v="899.99"/>
    <s v="PayPal"/>
    <s v="North"/>
    <s v="Basic"/>
    <d v="2023-02-18T00:00:00"/>
    <n v="2699.97"/>
    <n v="2"/>
    <d v="2026-03-24T22:33:56"/>
  </r>
  <r>
    <d v="2025-03-23T00:00:00"/>
    <s v="CUST023"/>
    <x v="0"/>
    <s v="P007"/>
    <s v="Desk"/>
    <s v="Furniture"/>
    <n v="3"/>
    <n v="299.99"/>
    <s v="Credit Card"/>
    <s v="West"/>
    <s v="Premium"/>
    <d v="2023-11-04T00:00:00"/>
    <n v="899.97"/>
    <n v="1"/>
    <d v="2026-03-24T22:33:56"/>
  </r>
  <r>
    <d v="2025-03-24T00:00:00"/>
    <s v="CUST001"/>
    <x v="49"/>
    <s v="P008"/>
    <s v="Bookshelf"/>
    <s v="Furniture"/>
    <n v="4"/>
    <n v="149.99"/>
    <s v="PayPal"/>
    <s v="West"/>
    <s v="Standard"/>
    <d v="2021-12-30T00:00:00"/>
    <n v="599.96"/>
    <n v="3"/>
    <d v="2026-03-24T22:33:56"/>
  </r>
  <r>
    <d v="2025-03-27T00:00:00"/>
    <s v="CUST044"/>
    <x v="19"/>
    <s v="P004"/>
    <s v="Coffee Maker"/>
    <s v="Appliances"/>
    <n v="4"/>
    <n v="79.989999999999995"/>
    <s v="Credit Card"/>
    <s v="Central"/>
    <s v="Basic"/>
    <d v="2023-12-28T00:00:00"/>
    <n v="319.95999999999998"/>
    <n v="1"/>
    <d v="2026-03-24T22:33:56"/>
  </r>
  <r>
    <d v="2025-03-29T00:00:00"/>
    <s v="CUST020"/>
    <x v="36"/>
    <s v="P010"/>
    <s v="Keyboard"/>
    <s v="Electronics"/>
    <n v="5"/>
    <n v="89.99"/>
    <s v="PayPal"/>
    <s v="South"/>
    <s v="Basic"/>
    <d v="2022-05-23T00:00:00"/>
    <n v="449.95"/>
    <n v="2"/>
    <d v="2026-03-24T22:33:56"/>
  </r>
  <r>
    <d v="2025-03-30T00:00:00"/>
    <s v="CUST048"/>
    <x v="16"/>
    <s v="P008"/>
    <s v="Bookshelf"/>
    <s v="Furniture"/>
    <n v="3"/>
    <n v="149.99"/>
    <s v="PayPal"/>
    <s v="Central"/>
    <s v="Standard"/>
    <d v="2023-09-02T00:00:00"/>
    <n v="449.97"/>
    <n v="1"/>
    <d v="2026-03-24T22:33:56"/>
  </r>
  <r>
    <d v="2025-03-30T00:00:00"/>
    <s v="CUST026"/>
    <x v="8"/>
    <s v="P010"/>
    <s v="Keyboard"/>
    <s v="Electronics"/>
    <n v="2"/>
    <n v="89.99"/>
    <s v="Debit Card"/>
    <s v="West"/>
    <s v="Premium"/>
    <d v="2021-11-22T00:00:00"/>
    <n v="179.98"/>
    <n v="3"/>
    <d v="2026-03-24T22:33:56"/>
  </r>
  <r>
    <d v="2025-04-01T00:00:00"/>
    <s v="CUST044"/>
    <x v="19"/>
    <s v="P002"/>
    <s v="Smartphone"/>
    <s v="Electronics"/>
    <n v="2"/>
    <n v="699.99"/>
    <s v="PayPal"/>
    <s v="North"/>
    <s v="Standard"/>
    <d v="2022-02-26T00:00:00"/>
    <n v="1399.98"/>
    <n v="3"/>
    <d v="2026-03-24T22:33:56"/>
  </r>
  <r>
    <d v="2025-04-02T00:00:00"/>
    <s v="CUST029"/>
    <x v="23"/>
    <s v="P001"/>
    <s v="Laptop"/>
    <s v="Electronics"/>
    <n v="3"/>
    <n v="899.99"/>
    <s v="Cash"/>
    <s v="Central"/>
    <s v="Standard"/>
    <d v="2023-01-27T00:00:00"/>
    <n v="2699.97"/>
    <n v="2"/>
    <d v="2026-03-24T22:34:59"/>
  </r>
  <r>
    <d v="2025-04-08T00:00:00"/>
    <s v="CUST048"/>
    <x v="16"/>
    <s v="P004"/>
    <s v="Coffee Maker"/>
    <s v="Appliances"/>
    <n v="3"/>
    <n v="79.989999999999995"/>
    <s v="Credit Card"/>
    <s v="North"/>
    <s v="Basic"/>
    <d v="2021-11-11T00:00:00"/>
    <n v="239.97"/>
    <n v="3"/>
    <d v="2026-03-24T22:33:56"/>
  </r>
  <r>
    <d v="2025-04-09T00:00:00"/>
    <s v="CUST009"/>
    <x v="7"/>
    <s v="P010"/>
    <s v="Keyboard"/>
    <s v="Electronics"/>
    <n v="1"/>
    <n v="89.99"/>
    <s v="Debit Card"/>
    <s v="East"/>
    <s v="Basic"/>
    <d v="2024-02-24T00:00:00"/>
    <n v="89.99"/>
    <n v="1"/>
    <d v="2026-03-24T22:33:56"/>
  </r>
  <r>
    <d v="2025-04-11T00:00:00"/>
    <s v="CUST045"/>
    <x v="46"/>
    <s v="P002"/>
    <s v="Smartphone"/>
    <s v="Electronics"/>
    <n v="3"/>
    <n v="699.99"/>
    <s v="PayPal"/>
    <s v="North"/>
    <s v="Basic"/>
    <d v="2022-12-14T00:00:00"/>
    <n v="2099.9699999999998"/>
    <n v="2"/>
    <d v="2026-03-24T22:33:56"/>
  </r>
  <r>
    <d v="2025-04-11T00:00:00"/>
    <s v="CUST039"/>
    <x v="40"/>
    <s v="P010"/>
    <s v="Keyboard"/>
    <s v="Electronics"/>
    <n v="2"/>
    <n v="89.99"/>
    <s v="Debit Card"/>
    <s v="East"/>
    <s v="Basic"/>
    <d v="2023-06-11T00:00:00"/>
    <n v="179.98"/>
    <n v="1"/>
    <d v="2026-03-24T22:33:56"/>
  </r>
  <r>
    <d v="2025-04-11T00:00:00"/>
    <s v="CUST031"/>
    <x v="26"/>
    <s v="P010"/>
    <s v="Keyboard"/>
    <s v="Electronics"/>
    <n v="3"/>
    <n v="89.99"/>
    <s v="Debit Card"/>
    <s v="North"/>
    <s v="Premium"/>
    <d v="2022-11-13T00:00:00"/>
    <n v="269.97000000000003"/>
    <n v="2"/>
    <d v="2026-03-24T22:33: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1D02DA-B03F-48F2-B9AE-DCDFC9EBF56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15">
    <pivotField numFmtId="16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64" showAll="0"/>
    <pivotField dataField="1" showAll="0"/>
    <pivotField showAll="0"/>
    <pivotField numFmtId="22" showAll="0"/>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F77AB8-1FC1-4F9A-B40A-22C4CD1DD5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items count="6">
        <item x="0"/>
        <item x="4"/>
        <item h="1" x="2"/>
        <item h="1" x="1"/>
        <item h="1" x="3"/>
        <item t="default"/>
      </items>
    </pivotField>
    <pivotField showAll="0"/>
    <pivotField numFmtId="164" showAll="0"/>
    <pivotField dataField="1" showAll="0"/>
    <pivotField showAll="0"/>
    <pivotField numFmtId="22" showAll="0"/>
    <pivotField axis="axisRow" showAll="0">
      <items count="15">
        <item sd="0" x="0"/>
        <item sd="0" x="1"/>
        <item sd="0" x="2"/>
        <item sd="0" x="3"/>
        <item sd="0" x="4"/>
        <item sd="0" x="5"/>
        <item sd="0" x="6"/>
        <item sd="0" x="7"/>
        <item sd="0" x="8"/>
        <item h="1" sd="0" x="9"/>
        <item h="1" sd="0" x="10"/>
        <item h="1" sd="0" x="11"/>
        <item h="1" sd="0" x="12"/>
        <item sd="0" x="13"/>
        <item t="default"/>
      </items>
    </pivotField>
    <pivotField showAll="0">
      <items count="7">
        <item sd="0" x="0"/>
        <item sd="0" x="1"/>
        <item sd="0" x="2"/>
        <item sd="0" x="3"/>
        <item sd="0" x="4"/>
        <item sd="0" x="5"/>
        <item t="default"/>
      </items>
    </pivotField>
    <pivotField axis="axisRow" showAll="0" sortType="ascending">
      <items count="5">
        <item sd="0" x="0"/>
        <item sd="0" x="3"/>
        <item x="1"/>
        <item x="2"/>
        <item t="default"/>
      </items>
    </pivotField>
  </pivotFields>
  <rowFields count="2">
    <field x="18"/>
    <field x="16"/>
  </rowFields>
  <rowItems count="12">
    <i>
      <x v="2"/>
    </i>
    <i r="1">
      <x v="4"/>
    </i>
    <i r="1">
      <x v="5"/>
    </i>
    <i r="1">
      <x v="6"/>
    </i>
    <i r="1">
      <x v="7"/>
    </i>
    <i r="1">
      <x v="8"/>
    </i>
    <i>
      <x v="3"/>
    </i>
    <i r="1">
      <x v="1"/>
    </i>
    <i r="1">
      <x v="2"/>
    </i>
    <i r="1">
      <x v="3"/>
    </i>
    <i r="1">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11157F-08AE-4487-9D1A-7570471AB77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items count="6">
        <item x="0"/>
        <item x="4"/>
        <item h="1" x="2"/>
        <item h="1" x="1"/>
        <item h="1" x="3"/>
        <item t="default"/>
      </items>
    </pivotField>
    <pivotField showAll="0"/>
    <pivotField numFmtId="164" showAll="0"/>
    <pivotField dataField="1" showAll="0"/>
    <pivotField showAll="0"/>
    <pivotField numFmtId="22" showAll="0"/>
    <pivotField showAll="0" defaultSubtotal="0">
      <items count="14">
        <item x="0"/>
        <item x="1"/>
        <item x="2"/>
        <item x="3"/>
        <item x="4"/>
        <item x="5"/>
        <item x="6"/>
        <item x="7"/>
        <item x="8"/>
        <item h="1" x="9"/>
        <item h="1" x="10"/>
        <item h="1" x="11"/>
        <item h="1"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0BAAF3-5C64-4DB1-B161-07AE2A0573A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h="1" x="2"/>
        <item h="1" x="1"/>
        <item h="1" x="3"/>
        <item t="default"/>
      </items>
    </pivotField>
    <pivotField showAll="0"/>
    <pivotField numFmtId="164" showAll="0"/>
    <pivotField dataField="1" showAll="0"/>
    <pivotField showAll="0"/>
    <pivotField numFmtId="22" showAll="0"/>
    <pivotField showAll="0" defaultSubtotal="0">
      <items count="14">
        <item x="0"/>
        <item x="1"/>
        <item x="2"/>
        <item x="3"/>
        <item x="4"/>
        <item x="5"/>
        <item x="6"/>
        <item x="7"/>
        <item x="8"/>
        <item h="1" x="9"/>
        <item h="1" x="10"/>
        <item h="1" x="11"/>
        <item h="1" x="12"/>
        <item x="13"/>
      </items>
    </pivotField>
    <pivotField showAll="0" defaultSubtotal="0"/>
    <pivotField showAll="0" defaultSubtotal="0">
      <items count="4">
        <item x="0"/>
        <item x="1"/>
        <item x="2"/>
        <item x="3"/>
      </items>
    </pivotField>
  </pivotFields>
  <rowFields count="1">
    <field x="10"/>
  </rowFields>
  <rowItems count="3">
    <i>
      <x/>
    </i>
    <i>
      <x v="1"/>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03E92B-EB67-4C37-BD59-A72D9AF6B03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items count="6">
        <item x="0"/>
        <item x="4"/>
        <item h="1" x="2"/>
        <item h="1" x="1"/>
        <item h="1" x="3"/>
        <item t="default"/>
      </items>
    </pivotField>
    <pivotField showAll="0"/>
    <pivotField numFmtId="164" showAll="0"/>
    <pivotField dataField="1" showAll="0"/>
    <pivotField showAll="0"/>
    <pivotField numFmtId="22" showAll="0"/>
    <pivotField showAll="0" defaultSubtotal="0">
      <items count="14">
        <item x="0"/>
        <item x="1"/>
        <item x="2"/>
        <item x="3"/>
        <item x="4"/>
        <item x="5"/>
        <item x="6"/>
        <item x="7"/>
        <item x="8"/>
        <item h="1" x="9"/>
        <item h="1" x="10"/>
        <item h="1" x="11"/>
        <item h="1" x="12"/>
        <item x="13"/>
      </items>
    </pivotField>
    <pivotField showAll="0" defaultSubtotal="0"/>
    <pivotField showAll="0" defaultSubtotal="0">
      <items count="4">
        <item x="0"/>
        <item x="1"/>
        <item x="2"/>
        <item x="3"/>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EA2B96-7D14-488E-90F1-1F4B4D1241E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rowPageCount="1" colPageCount="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items count="11">
        <item x="4"/>
        <item x="5"/>
        <item x="3"/>
        <item x="7"/>
        <item x="1"/>
        <item x="9"/>
        <item x="6"/>
        <item x="2"/>
        <item x="0"/>
        <item x="8"/>
        <item t="default"/>
      </items>
    </pivotField>
    <pivotField showAll="0"/>
    <pivotField axis="axisPage" multipleItemSelectionAllowed="1" showAll="0">
      <items count="4">
        <item x="1"/>
        <item x="0"/>
        <item x="2"/>
        <item t="default"/>
      </items>
    </pivotField>
    <pivotField showAll="0"/>
    <pivotField showAll="0"/>
    <pivotField showAll="0">
      <items count="5">
        <item x="0"/>
        <item x="1"/>
        <item x="3"/>
        <item x="2"/>
        <item t="default"/>
      </items>
    </pivotField>
    <pivotField showAll="0">
      <items count="6">
        <item x="0"/>
        <item x="4"/>
        <item h="1" x="2"/>
        <item h="1" x="1"/>
        <item h="1" x="3"/>
        <item t="default"/>
      </items>
    </pivotField>
    <pivotField axis="axisRow" showAll="0">
      <items count="4">
        <item x="0"/>
        <item x="1"/>
        <item x="2"/>
        <item t="default"/>
      </items>
    </pivotField>
    <pivotField numFmtId="164" showAll="0"/>
    <pivotField dataField="1" showAll="0"/>
    <pivotField showAll="0"/>
    <pivotField numFmtId="22" showAll="0"/>
    <pivotField showAll="0" defaultSubtotal="0">
      <items count="14">
        <item x="0"/>
        <item x="1"/>
        <item x="2"/>
        <item x="3"/>
        <item x="4"/>
        <item x="5"/>
        <item x="6"/>
        <item x="7"/>
        <item x="8"/>
        <item h="1" x="9"/>
        <item h="1" x="10"/>
        <item h="1" x="11"/>
        <item h="1" x="12"/>
        <item x="13"/>
      </items>
    </pivotField>
    <pivotField showAll="0" defaultSubtotal="0"/>
    <pivotField showAll="0" defaultSubtotal="0">
      <items count="4">
        <item x="0"/>
        <item x="1"/>
        <item x="2"/>
        <item x="3"/>
      </items>
    </pivotField>
  </pivotFields>
  <rowFields count="1">
    <field x="11"/>
  </rowFields>
  <rowItems count="4">
    <i>
      <x/>
    </i>
    <i>
      <x v="1"/>
    </i>
    <i>
      <x v="2"/>
    </i>
    <i t="grand">
      <x/>
    </i>
  </rowItems>
  <colItems count="1">
    <i/>
  </colItems>
  <pageFields count="1">
    <pageField fld="6" hier="-1"/>
  </pageFields>
  <dataFields count="1">
    <dataField name="Sum of Total_Amount" fld="13"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0"/>
          </reference>
        </references>
      </pivotArea>
    </chartFormat>
    <chartFormat chart="3" format="2">
      <pivotArea type="data" outline="0" fieldPosition="0">
        <references count="2">
          <reference field="4294967294" count="1" selected="0">
            <x v="0"/>
          </reference>
          <reference field="11" count="1" selected="0">
            <x v="1"/>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DB251E-B8F2-4E50-9B4E-E7E0A2A0176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dataField="1" showAll="0"/>
    <pivotField showAll="0"/>
    <pivotField showAll="0"/>
    <pivotField showAll="0"/>
    <pivotField showAll="0">
      <items count="4">
        <item x="1"/>
        <item x="0"/>
        <item x="2"/>
        <item t="default"/>
      </items>
    </pivotField>
    <pivotField showAll="0"/>
    <pivotField showAll="0"/>
    <pivotField showAll="0"/>
    <pivotField showAll="0">
      <items count="6">
        <item x="0"/>
        <item x="4"/>
        <item h="1" x="2"/>
        <item h="1" x="1"/>
        <item h="1" x="3"/>
        <item t="default"/>
      </items>
    </pivotField>
    <pivotField showAll="0"/>
    <pivotField numFmtId="164" showAll="0"/>
    <pivotField showAll="0"/>
    <pivotField showAll="0"/>
    <pivotField numFmtId="22" showAll="0"/>
    <pivotField showAll="0">
      <items count="15">
        <item sd="0" x="0"/>
        <item sd="0" x="1"/>
        <item sd="0" x="2"/>
        <item sd="0" x="3"/>
        <item sd="0" x="4"/>
        <item sd="0" x="5"/>
        <item sd="0" x="6"/>
        <item sd="0" x="7"/>
        <item sd="0" x="8"/>
        <item h="1" sd="0" x="9"/>
        <item h="1" sd="0" x="10"/>
        <item h="1" sd="0" x="11"/>
        <item h="1" sd="0" x="12"/>
        <item sd="0" x="13"/>
        <item t="default"/>
      </items>
    </pivotField>
    <pivotField showAll="0">
      <items count="7">
        <item sd="0" x="0"/>
        <item sd="0" x="1"/>
        <item sd="0" x="2"/>
        <item sd="0" x="3"/>
        <item sd="0" x="4"/>
        <item sd="0" x="5"/>
        <item t="default"/>
      </items>
    </pivotField>
    <pivotField showAll="0" sortType="ascending">
      <items count="5">
        <item sd="0" x="0"/>
        <item sd="0" x="3"/>
        <item x="1"/>
        <item x="2"/>
        <item t="default"/>
      </items>
    </pivotField>
  </pivotFields>
  <rowItems count="1">
    <i/>
  </rowItems>
  <colItems count="1">
    <i/>
  </colItems>
  <dataFields count="1">
    <dataField name="Count of Customer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10122A-611A-48ED-B99D-3F641989B97B}" sourceName="Category">
  <pivotTables>
    <pivotTable tabId="5" name="PivotTable1"/>
    <pivotTable tabId="6" name="PivotTable2"/>
    <pivotTable tabId="9" name="PivotTable5"/>
    <pivotTable tabId="10" name="PivotTable6"/>
    <pivotTable tabId="7" name="PivotTable3"/>
    <pivotTable tabId="20" name="PivotTable14"/>
  </pivotTables>
  <data>
    <tabular pivotCacheId="87880254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51BEB5-38EB-4560-AE2B-B1A4395B49BF}" sourceName="Region">
  <pivotTables>
    <pivotTable tabId="5" name="PivotTable1"/>
    <pivotTable tabId="6" name="PivotTable2"/>
    <pivotTable tabId="9" name="PivotTable5"/>
    <pivotTable tabId="10" name="PivotTable6"/>
    <pivotTable tabId="7" name="PivotTable3"/>
    <pivotTable tabId="20" name="PivotTable14"/>
  </pivotTables>
  <data>
    <tabular pivotCacheId="878802542">
      <items count="5">
        <i x="0" s="1"/>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2E2ECB4-31E9-46F4-AFEF-55665455975C}" sourceName="Months (Date)">
  <pivotTables>
    <pivotTable tabId="5" name="PivotTable1"/>
    <pivotTable tabId="6" name="PivotTable2"/>
    <pivotTable tabId="9" name="PivotTable5"/>
    <pivotTable tabId="10" name="PivotTable6"/>
    <pivotTable tabId="7" name="PivotTable3"/>
    <pivotTable tabId="20" name="PivotTable14"/>
  </pivotTables>
  <data>
    <tabular pivotCacheId="878802542">
      <items count="14">
        <i x="1" s="1"/>
        <i x="2" s="1"/>
        <i x="3" s="1"/>
        <i x="4" s="1"/>
        <i x="5" s="1"/>
        <i x="6" s="1"/>
        <i x="7" s="1"/>
        <i x="8" s="1"/>
        <i x="9"/>
        <i x="10"/>
        <i x="11"/>
        <i x="12"/>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C667EEC-14D1-49ED-B51C-F96DDDF714E7}" sourceName="Years (Date)">
  <pivotTables>
    <pivotTable tabId="5" name="PivotTable1"/>
    <pivotTable tabId="6" name="PivotTable2"/>
    <pivotTable tabId="9" name="PivotTable5"/>
    <pivotTable tabId="10" name="PivotTable6"/>
    <pivotTable tabId="7" name="PivotTable3"/>
    <pivotTable tabId="20" name="PivotTable14"/>
  </pivotTables>
  <data>
    <tabular pivotCacheId="878802542">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F388041-3371-4C60-8C45-09F6B0B0D711}" cache="Slicer_Category" caption="Category" columnCount="3" style="SlicerStyleDark2 2 2" rowHeight="234950"/>
  <slicer name="Region 1" xr10:uid="{FDD88293-AF94-40AA-8D26-4E2ADD17C18C}" cache="Slicer_Region" caption="Region" style="SlicerStyleDark2 2 2" rowHeight="234950"/>
  <slicer name="Months (Date) 1" xr10:uid="{23C0C53B-E9F1-4B55-A82F-6620597FC54A}" cache="Slicer_Months__Date" caption="Months (Date)" columnCount="2" style="SlicerStyleDark2 2 2" rowHeight="234950"/>
  <slicer name="Years (Date) 1" xr10:uid="{9B318E0D-F5AD-4AEC-A9E4-F91154349B3D}" cache="Slicer_Years__Date" caption="Years (Date)" columnCount="2" style="SlicerStyleDark2 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8DA689-AF18-4C4E-8E3E-CEACE928F5DC}" cache="Slicer_Category" caption="Category" rowHeight="234950"/>
  <slicer name="Region" xr10:uid="{F17693A2-244B-46ED-9950-224E71919DB5}" cache="Slicer_Region" caption="Region" rowHeight="234950"/>
  <slicer name="Months (Date)" xr10:uid="{CCCA0BBF-D918-4C7D-9F6A-B6051C636302}" cache="Slicer_Months__Date" caption="Months (Date)" rowHeight="234950"/>
  <slicer name="Years (Date)" xr10:uid="{D2DB72F7-31E9-417F-93EF-1D4EB5462868}"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BAA6C5-DCEA-4C1C-B36D-F0B8EC07E8B1}" name="Table2" displayName="Table2" ref="V3:X4" headerRowCount="0" totalsRowShown="0" headerRowDxfId="12">
  <tableColumns count="3">
    <tableColumn id="1" xr3:uid="{0D927B91-C494-45E7-8A24-95836D3579BD}" name="Column1" headerRowDxfId="9">
      <calculatedColumnFormula>TODAY()</calculatedColumnFormula>
    </tableColumn>
    <tableColumn id="2" xr3:uid="{D92AFB4B-66E4-47AA-BC95-7A1A4DEED569}" name="Column2" headerRowDxfId="10">
      <calculatedColumnFormula>NOW()</calculatedColumnFormula>
    </tableColumn>
    <tableColumn id="3" xr3:uid="{3608E072-E430-41C5-95C3-2A7E37A83AFD}" name="Column3" headerRowDxfId="11">
      <calculatedColumnFormula>EOMONTH(M1,0)</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23E9DF-6709-4AD4-B636-522C59C2CC13}" name="Table4" displayName="Table4" ref="V13:Y26" totalsRowShown="0" headerRowDxfId="6">
  <autoFilter ref="V13:Y26" xr:uid="{3423E9DF-6709-4AD4-B636-522C59C2CC13}">
    <filterColumn colId="0" hiddenButton="1"/>
    <filterColumn colId="1" hiddenButton="1"/>
    <filterColumn colId="2" hiddenButton="1"/>
    <filterColumn colId="3" hiddenButton="1"/>
  </autoFilter>
  <tableColumns count="4">
    <tableColumn id="1" xr3:uid="{04F623C8-6214-408A-9195-9D1E56BE5E36}" name="year"/>
    <tableColumn id="2" xr3:uid="{33FBBC30-9AD5-4C33-9D17-CE7D27A770F8}" name="Month" dataDxfId="8"/>
    <tableColumn id="3" xr3:uid="{9A76BB0F-2281-4F61-B9E1-D89827E6773E}" name="Toatl_amount"/>
    <tableColumn id="4" xr3:uid="{9C81A4CE-2A72-413A-B1EC-B4F095100375}" name="Sales_Growth" dataDxfId="7" dataCellStyle="Percent">
      <calculatedColumnFormula>(X14-X13)/X13</calculatedColumnFormula>
    </tableColumn>
  </tableColumns>
  <tableStyleInfo name="TableStyleMedium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616DE4-0B54-498C-891C-256C6BE8FC72}" name="Table5" displayName="Table5" ref="V30:Y32" totalsRowShown="0" headerRowDxfId="5">
  <autoFilter ref="V30:Y32" xr:uid="{DD616DE4-0B54-498C-891C-256C6BE8FC72}">
    <filterColumn colId="0" hiddenButton="1"/>
    <filterColumn colId="1" hiddenButton="1"/>
    <filterColumn colId="2" hiddenButton="1"/>
    <filterColumn colId="3" hiddenButton="1"/>
  </autoFilter>
  <tableColumns count="4">
    <tableColumn id="1" xr3:uid="{19980E3D-3209-4F4E-849A-865E3B6E7495}" name="."/>
    <tableColumn id="2" xr3:uid="{605623FE-D4FD-49BA-9B16-A5365765A1BA}" name="Quantity">
      <calculatedColumnFormula>H1</calculatedColumnFormula>
    </tableColumn>
    <tableColumn id="3" xr3:uid="{1EB2DE40-848A-4209-9821-4FA6962BC1F1}" name="Unit_price"/>
    <tableColumn id="4" xr3:uid="{D0F11C5E-A7F4-4423-BBA7-14059A62BE7B}" name="Total_amount">
      <calculatedColumnFormula>W31*X31</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790977-F209-4A89-AA3D-60734367404F}" name="Table6" displayName="Table6" ref="V36:W45" totalsRowShown="0" headerRowDxfId="4">
  <autoFilter ref="V36:W45" xr:uid="{7A790977-F209-4A89-AA3D-60734367404F}">
    <filterColumn colId="0" hiddenButton="1"/>
    <filterColumn colId="1" hiddenButton="1"/>
  </autoFilter>
  <tableColumns count="2">
    <tableColumn id="1" xr3:uid="{13A04E47-F2A0-457B-B607-846EFCAF1236}" name="Fequently"/>
    <tableColumn id="2" xr3:uid="{A5FD3D12-F0D2-4B3F-9A4F-2FD848832D5E}" name="Product">
      <calculatedColumnFormula>INDEX(F2:F251:R251,MATCH(V37,R2:R251,0),1)</calculatedColumnFormula>
    </tableColumn>
  </tableColumns>
  <tableStyleInfo name="TableStyleMedium4"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36EFC2-2A22-446C-BC21-100D320CA9CE}" name="Table7" displayName="Table7" ref="V49:X58" headerRowCount="0" totalsRowShown="0">
  <tableColumns count="3">
    <tableColumn id="1" xr3:uid="{B5425888-62C5-4884-A545-6321322057B2}" name="Column1"/>
    <tableColumn id="2" xr3:uid="{D75A6D27-96F7-42D0-92E5-663EA05950BB}" name="Column2"/>
    <tableColumn id="3" xr3:uid="{7853370C-8781-42F5-AEB9-7772F13D0A86}" name="Column3">
      <calculatedColumnFormula>IF(ISNUMBER(MATCH(V50,$W$50:$W$59,0)),"Match","Not Match")</calculatedColumnFormula>
    </tableColumn>
  </tableColumns>
  <tableStyleInfo name="TableStyleMedium4"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E7FB81-04BD-4E56-BB49-21A23E3898D3}" name="Table1" displayName="Table1" ref="D3:F8" totalsRowShown="0" headerRowDxfId="13" dataDxfId="14" headerRowBorderDxfId="18" tableBorderDxfId="19">
  <tableColumns count="3">
    <tableColumn id="1" xr3:uid="{7067CCE2-8FA3-4A70-963C-7B8D4C3EFADA}" name="RANK" dataDxfId="17"/>
    <tableColumn id="2" xr3:uid="{9C08A2D9-413C-429A-B498-07FF5877461E}" name="TOP REVENUE" dataDxfId="16"/>
    <tableColumn id="3" xr3:uid="{8E9AD806-5A0F-48E7-BD3F-486078285F8B}" name="Customer_Name" dataDxfId="15">
      <calculatedColumnFormula>INDEX(A2:B51,MATCH(E4,B2:B51,0),1)</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Sheets">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Sheets">
      <a:majorFont>
        <a:latin typeface="Calibri"/>
        <a:ea typeface="Calibri"/>
        <a:cs typeface="Calibri"/>
      </a:majorFont>
      <a:minorFont>
        <a:latin typeface="Calibri"/>
        <a:ea typeface="Calibri"/>
        <a:cs typeface="Calibri"/>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6"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G1000"/>
  <sheetViews>
    <sheetView workbookViewId="0">
      <selection activeCell="X49" sqref="X49"/>
    </sheetView>
  </sheetViews>
  <sheetFormatPr defaultColWidth="14.44140625" defaultRowHeight="15" customHeight="1" x14ac:dyDescent="0.3"/>
  <cols>
    <col min="1" max="1" width="13.6640625" customWidth="1"/>
    <col min="2" max="2" width="10.88671875" customWidth="1"/>
    <col min="3" max="3" width="12.33203125" customWidth="1"/>
    <col min="4" max="4" width="15.88671875" customWidth="1"/>
    <col min="5" max="5" width="10.6640625" customWidth="1"/>
    <col min="6" max="6" width="13.88671875" customWidth="1"/>
    <col min="7" max="7" width="10.44140625" customWidth="1"/>
    <col min="8" max="8" width="8.5546875" customWidth="1"/>
    <col min="9" max="9" width="10" customWidth="1"/>
    <col min="10" max="10" width="16.44140625" customWidth="1"/>
    <col min="11" max="11" width="7.33203125" customWidth="1"/>
    <col min="12" max="12" width="17.88671875" customWidth="1"/>
    <col min="13" max="13" width="14.88671875" customWidth="1"/>
    <col min="14" max="14" width="13.109375" customWidth="1"/>
    <col min="15" max="15" width="13.44140625" bestFit="1" customWidth="1"/>
    <col min="16" max="16" width="21.44140625" bestFit="1" customWidth="1"/>
    <col min="17" max="17" width="15.88671875" customWidth="1"/>
    <col min="18" max="18" width="15.33203125" customWidth="1"/>
    <col min="19" max="19" width="12.77734375" customWidth="1"/>
    <col min="20" max="21" width="8.6640625" customWidth="1"/>
    <col min="22" max="22" width="11.21875" customWidth="1"/>
    <col min="23" max="23" width="14.109375" customWidth="1"/>
    <col min="24" max="24" width="10.77734375" customWidth="1"/>
    <col min="25" max="25" width="10.44140625" customWidth="1"/>
    <col min="26" max="26" width="10.21875" customWidth="1"/>
    <col min="27" max="27" width="11.5546875" customWidth="1"/>
    <col min="28" max="28" width="14.77734375" customWidth="1"/>
  </cols>
  <sheetData>
    <row r="1" spans="1:33" s="34" customFormat="1" ht="40.200000000000003" customHeight="1" x14ac:dyDescent="0.3">
      <c r="A1" s="33" t="s">
        <v>2</v>
      </c>
      <c r="B1" s="33" t="s">
        <v>3</v>
      </c>
      <c r="C1" s="33" t="s">
        <v>4</v>
      </c>
      <c r="D1" s="33" t="s">
        <v>5</v>
      </c>
      <c r="E1" s="33" t="s">
        <v>6</v>
      </c>
      <c r="F1" s="33" t="s">
        <v>7</v>
      </c>
      <c r="G1" s="33" t="s">
        <v>8</v>
      </c>
      <c r="H1" s="33" t="s">
        <v>9</v>
      </c>
      <c r="I1" s="33" t="s">
        <v>10</v>
      </c>
      <c r="J1" s="33" t="s">
        <v>11</v>
      </c>
      <c r="K1" s="33" t="s">
        <v>12</v>
      </c>
      <c r="L1" s="33" t="s">
        <v>13</v>
      </c>
      <c r="M1" s="33" t="s">
        <v>14</v>
      </c>
      <c r="N1" s="33" t="s">
        <v>15</v>
      </c>
      <c r="O1" s="47" t="s">
        <v>403</v>
      </c>
      <c r="P1" s="48" t="s">
        <v>424</v>
      </c>
      <c r="Q1" s="47" t="s">
        <v>467</v>
      </c>
      <c r="R1" s="49" t="s">
        <v>469</v>
      </c>
      <c r="S1" s="47" t="s">
        <v>486</v>
      </c>
      <c r="T1" s="33"/>
      <c r="U1" s="33"/>
      <c r="V1"/>
      <c r="W1"/>
      <c r="X1"/>
      <c r="Y1"/>
      <c r="Z1"/>
      <c r="AA1"/>
    </row>
    <row r="2" spans="1:33" ht="14.4" x14ac:dyDescent="0.3">
      <c r="A2" s="4" t="s">
        <v>16</v>
      </c>
      <c r="B2" s="5">
        <v>45393</v>
      </c>
      <c r="C2" s="4" t="s">
        <v>17</v>
      </c>
      <c r="D2" s="4" t="s">
        <v>18</v>
      </c>
      <c r="E2" s="4" t="s">
        <v>19</v>
      </c>
      <c r="F2" s="4" t="s">
        <v>20</v>
      </c>
      <c r="G2" s="4" t="s">
        <v>21</v>
      </c>
      <c r="H2" s="4">
        <v>3</v>
      </c>
      <c r="I2" s="4">
        <v>249.99</v>
      </c>
      <c r="J2" s="4" t="s">
        <v>22</v>
      </c>
      <c r="K2" s="4" t="s">
        <v>23</v>
      </c>
      <c r="L2" s="4" t="s">
        <v>24</v>
      </c>
      <c r="M2" s="5">
        <v>44425</v>
      </c>
      <c r="N2" s="4">
        <v>749.97</v>
      </c>
      <c r="O2" s="50" cm="1">
        <f t="array" ref="O2:O251">DATEDIF(M2:M251,B2:B251,"Y")</f>
        <v>2</v>
      </c>
      <c r="P2" s="51">
        <f ca="1">IF(A2&lt;&gt;"", IF(P2="", NOW(), P2), "")</f>
        <v>46105.940228703701</v>
      </c>
      <c r="Q2" s="52">
        <f>SUMIFS(N:N, C:C, C2)</f>
        <v>8309.739999999998</v>
      </c>
      <c r="R2" s="35">
        <f>COUNTIF($F:$F,F2)</f>
        <v>26</v>
      </c>
      <c r="S2" s="52" t="str">
        <f>LEFT(D2,1) &amp; MID(D2,FIND(" ",D2)+1,1)</f>
        <v>PB</v>
      </c>
      <c r="V2" s="33" t="s">
        <v>405</v>
      </c>
      <c r="W2" s="33"/>
      <c r="X2" s="33"/>
      <c r="Y2" s="33"/>
      <c r="Z2" s="33"/>
      <c r="AA2" s="33"/>
    </row>
    <row r="3" spans="1:33" ht="14.4" x14ac:dyDescent="0.3">
      <c r="A3" s="4" t="s">
        <v>25</v>
      </c>
      <c r="B3" s="5">
        <v>45396</v>
      </c>
      <c r="C3" s="4" t="s">
        <v>26</v>
      </c>
      <c r="D3" s="4" t="s">
        <v>27</v>
      </c>
      <c r="E3" s="4" t="s">
        <v>19</v>
      </c>
      <c r="F3" s="4" t="s">
        <v>20</v>
      </c>
      <c r="G3" s="4" t="s">
        <v>21</v>
      </c>
      <c r="H3" s="4">
        <v>3</v>
      </c>
      <c r="I3" s="4">
        <v>249.99</v>
      </c>
      <c r="J3" s="4" t="s">
        <v>28</v>
      </c>
      <c r="K3" s="4" t="s">
        <v>23</v>
      </c>
      <c r="L3" s="4" t="s">
        <v>29</v>
      </c>
      <c r="M3" s="5">
        <v>44575</v>
      </c>
      <c r="N3" s="4">
        <v>749.97</v>
      </c>
      <c r="O3" s="35">
        <v>2</v>
      </c>
      <c r="P3" s="51">
        <f t="shared" ref="P3:P66" ca="1" si="0">IF(A3&lt;&gt;"", IF(P3="", NOW(), P3), "")</f>
        <v>46105.940228703701</v>
      </c>
      <c r="Q3" s="52">
        <f t="shared" ref="Q3:Q66" si="1">SUMIFS(N:N, C:C, C3)</f>
        <v>6949.84</v>
      </c>
      <c r="R3" s="35">
        <f t="shared" ref="R3:R66" si="2">COUNTIF($F:$F,F3)</f>
        <v>26</v>
      </c>
      <c r="S3" s="52" t="str">
        <f t="shared" ref="S3:S66" si="3">LEFT(D3,1) &amp; MID(D3,FIND(" ",D3)+1,1)</f>
        <v>JJ</v>
      </c>
      <c r="V3" s="43" t="s">
        <v>401</v>
      </c>
      <c r="W3" s="43" t="s">
        <v>402</v>
      </c>
      <c r="X3" s="43" t="s">
        <v>404</v>
      </c>
    </row>
    <row r="4" spans="1:33" ht="14.4" x14ac:dyDescent="0.3">
      <c r="A4" s="4" t="s">
        <v>30</v>
      </c>
      <c r="B4" s="5">
        <v>45399</v>
      </c>
      <c r="C4" s="4" t="s">
        <v>31</v>
      </c>
      <c r="D4" s="4" t="s">
        <v>32</v>
      </c>
      <c r="E4" s="4" t="s">
        <v>33</v>
      </c>
      <c r="F4" s="4" t="s">
        <v>34</v>
      </c>
      <c r="G4" s="4" t="s">
        <v>35</v>
      </c>
      <c r="H4" s="4">
        <v>3</v>
      </c>
      <c r="I4" s="4">
        <v>59.99</v>
      </c>
      <c r="J4" s="4" t="s">
        <v>36</v>
      </c>
      <c r="K4" s="4" t="s">
        <v>37</v>
      </c>
      <c r="L4" s="4" t="s">
        <v>38</v>
      </c>
      <c r="M4" s="5">
        <v>45262</v>
      </c>
      <c r="N4" s="4">
        <v>179.97</v>
      </c>
      <c r="O4" s="35">
        <v>0</v>
      </c>
      <c r="P4" s="51">
        <f t="shared" ca="1" si="0"/>
        <v>46105.940228703701</v>
      </c>
      <c r="Q4" s="52">
        <f t="shared" si="1"/>
        <v>3259.87</v>
      </c>
      <c r="R4" s="35">
        <f t="shared" si="2"/>
        <v>29</v>
      </c>
      <c r="S4" s="52" t="str">
        <f t="shared" si="3"/>
        <v>KS</v>
      </c>
      <c r="V4" s="8">
        <f ca="1">TODAY()</f>
        <v>46107</v>
      </c>
      <c r="W4" s="9">
        <f ca="1">NOW()</f>
        <v>46107.770477777776</v>
      </c>
      <c r="X4" s="8">
        <f>EOMONTH(M2,0)</f>
        <v>44439</v>
      </c>
    </row>
    <row r="5" spans="1:33" ht="14.4" x14ac:dyDescent="0.3">
      <c r="A5" s="4" t="s">
        <v>39</v>
      </c>
      <c r="B5" s="5">
        <v>45400</v>
      </c>
      <c r="C5" s="4" t="s">
        <v>40</v>
      </c>
      <c r="D5" s="4" t="s">
        <v>41</v>
      </c>
      <c r="E5" s="4" t="s">
        <v>33</v>
      </c>
      <c r="F5" s="4" t="s">
        <v>34</v>
      </c>
      <c r="G5" s="4" t="s">
        <v>35</v>
      </c>
      <c r="H5" s="4">
        <v>3</v>
      </c>
      <c r="I5" s="4">
        <v>59.99</v>
      </c>
      <c r="J5" s="4" t="s">
        <v>22</v>
      </c>
      <c r="K5" s="4" t="s">
        <v>42</v>
      </c>
      <c r="L5" s="4" t="s">
        <v>29</v>
      </c>
      <c r="M5" s="5">
        <v>45114</v>
      </c>
      <c r="N5" s="4">
        <v>179.97</v>
      </c>
      <c r="O5" s="35">
        <v>0</v>
      </c>
      <c r="P5" s="51">
        <f t="shared" ca="1" si="0"/>
        <v>46105.940228703701</v>
      </c>
      <c r="Q5" s="52">
        <f t="shared" si="1"/>
        <v>4309.8099999999995</v>
      </c>
      <c r="R5" s="35">
        <f t="shared" si="2"/>
        <v>29</v>
      </c>
      <c r="S5" s="52" t="str">
        <f t="shared" si="3"/>
        <v>KB</v>
      </c>
      <c r="V5" s="8"/>
      <c r="W5" s="9"/>
      <c r="X5" s="8"/>
    </row>
    <row r="6" spans="1:33" ht="14.4" x14ac:dyDescent="0.3">
      <c r="A6" s="4" t="s">
        <v>43</v>
      </c>
      <c r="B6" s="5">
        <v>45400</v>
      </c>
      <c r="C6" s="4" t="s">
        <v>44</v>
      </c>
      <c r="D6" s="4" t="s">
        <v>45</v>
      </c>
      <c r="E6" s="4" t="s">
        <v>46</v>
      </c>
      <c r="F6" s="4" t="s">
        <v>47</v>
      </c>
      <c r="G6" s="4" t="s">
        <v>48</v>
      </c>
      <c r="H6" s="4">
        <v>5</v>
      </c>
      <c r="I6" s="4">
        <v>149.99</v>
      </c>
      <c r="J6" s="4" t="s">
        <v>28</v>
      </c>
      <c r="K6" s="4" t="s">
        <v>42</v>
      </c>
      <c r="L6" s="4" t="s">
        <v>29</v>
      </c>
      <c r="M6" s="5">
        <v>45295</v>
      </c>
      <c r="N6" s="4">
        <v>749.95</v>
      </c>
      <c r="O6" s="35">
        <v>0</v>
      </c>
      <c r="P6" s="51">
        <f t="shared" ca="1" si="0"/>
        <v>46105.940228703701</v>
      </c>
      <c r="Q6" s="52">
        <f t="shared" si="1"/>
        <v>6169.7400000000007</v>
      </c>
      <c r="R6" s="35">
        <f t="shared" si="2"/>
        <v>35</v>
      </c>
      <c r="S6" s="52" t="str">
        <f t="shared" si="3"/>
        <v>MB</v>
      </c>
      <c r="V6" s="39" t="s">
        <v>406</v>
      </c>
      <c r="W6" s="40"/>
      <c r="X6" s="41"/>
    </row>
    <row r="7" spans="1:33" ht="14.4" x14ac:dyDescent="0.3">
      <c r="A7" s="4" t="s">
        <v>49</v>
      </c>
      <c r="B7" s="5">
        <v>45403</v>
      </c>
      <c r="C7" s="4" t="s">
        <v>50</v>
      </c>
      <c r="D7" s="4" t="s">
        <v>51</v>
      </c>
      <c r="E7" s="4" t="s">
        <v>33</v>
      </c>
      <c r="F7" s="4" t="s">
        <v>34</v>
      </c>
      <c r="G7" s="4" t="s">
        <v>35</v>
      </c>
      <c r="H7" s="4">
        <v>2</v>
      </c>
      <c r="I7" s="4">
        <v>59.99</v>
      </c>
      <c r="J7" s="4" t="s">
        <v>22</v>
      </c>
      <c r="K7" s="4" t="s">
        <v>52</v>
      </c>
      <c r="L7" s="4" t="s">
        <v>38</v>
      </c>
      <c r="M7" s="5">
        <v>44746</v>
      </c>
      <c r="N7" s="4">
        <v>119.98</v>
      </c>
      <c r="O7" s="35">
        <v>1</v>
      </c>
      <c r="P7" s="51">
        <f t="shared" ca="1" si="0"/>
        <v>46105.940228703701</v>
      </c>
      <c r="Q7" s="52">
        <f t="shared" si="1"/>
        <v>8269.7900000000009</v>
      </c>
      <c r="R7" s="35">
        <f t="shared" si="2"/>
        <v>29</v>
      </c>
      <c r="S7" s="52" t="str">
        <f t="shared" si="3"/>
        <v>DN</v>
      </c>
      <c r="V7" s="42" t="s">
        <v>498</v>
      </c>
      <c r="W7" s="42"/>
      <c r="X7" s="42"/>
    </row>
    <row r="8" spans="1:33" ht="14.4" x14ac:dyDescent="0.3">
      <c r="A8" s="4" t="s">
        <v>53</v>
      </c>
      <c r="B8" s="5">
        <v>45403</v>
      </c>
      <c r="C8" s="4" t="s">
        <v>50</v>
      </c>
      <c r="D8" s="4" t="s">
        <v>51</v>
      </c>
      <c r="E8" s="4" t="s">
        <v>54</v>
      </c>
      <c r="F8" s="4" t="s">
        <v>55</v>
      </c>
      <c r="G8" s="4" t="s">
        <v>21</v>
      </c>
      <c r="H8" s="4">
        <v>5</v>
      </c>
      <c r="I8" s="4">
        <v>149.99</v>
      </c>
      <c r="J8" s="4" t="s">
        <v>28</v>
      </c>
      <c r="K8" s="4" t="s">
        <v>23</v>
      </c>
      <c r="L8" s="4" t="s">
        <v>38</v>
      </c>
      <c r="M8" s="5">
        <v>44418</v>
      </c>
      <c r="N8" s="4">
        <v>749.95</v>
      </c>
      <c r="O8" s="35">
        <v>2</v>
      </c>
      <c r="P8" s="51">
        <f t="shared" ca="1" si="0"/>
        <v>46105.940228703701</v>
      </c>
      <c r="Q8" s="52">
        <f t="shared" si="1"/>
        <v>8269.7900000000009</v>
      </c>
      <c r="R8" s="35">
        <f t="shared" si="2"/>
        <v>16</v>
      </c>
      <c r="S8" s="52" t="str">
        <f t="shared" si="3"/>
        <v>DN</v>
      </c>
      <c r="V8" t="str" cm="1">
        <f t="array" ref="V8:AG10">_xlfn._xlws.FILTER(A2:L251,(F2:F251="Laptop")*(K2:K251="West"))</f>
        <v>TRX0122</v>
      </c>
      <c r="W8">
        <v>45410</v>
      </c>
      <c r="X8" t="str">
        <v>CUST025</v>
      </c>
      <c r="Y8" t="str">
        <v>Mark Carter</v>
      </c>
      <c r="Z8" t="str">
        <v>P001</v>
      </c>
      <c r="AA8" t="str">
        <v>Laptop</v>
      </c>
      <c r="AB8" t="str">
        <v>Electronics</v>
      </c>
      <c r="AC8">
        <v>4</v>
      </c>
      <c r="AD8">
        <v>899.99</v>
      </c>
      <c r="AE8" t="str">
        <v>Credit Card</v>
      </c>
      <c r="AF8" t="str">
        <v>West</v>
      </c>
      <c r="AG8" t="str">
        <v>Standard</v>
      </c>
    </row>
    <row r="9" spans="1:33" ht="14.4" x14ac:dyDescent="0.3">
      <c r="A9" s="4" t="s">
        <v>56</v>
      </c>
      <c r="B9" s="5">
        <v>45403</v>
      </c>
      <c r="C9" s="4" t="s">
        <v>57</v>
      </c>
      <c r="D9" s="4" t="s">
        <v>58</v>
      </c>
      <c r="E9" s="4" t="s">
        <v>33</v>
      </c>
      <c r="F9" s="4" t="s">
        <v>34</v>
      </c>
      <c r="G9" s="4" t="s">
        <v>35</v>
      </c>
      <c r="H9" s="4">
        <v>3</v>
      </c>
      <c r="I9" s="4">
        <v>59.99</v>
      </c>
      <c r="J9" s="4" t="s">
        <v>59</v>
      </c>
      <c r="K9" s="4" t="s">
        <v>37</v>
      </c>
      <c r="L9" s="4" t="s">
        <v>24</v>
      </c>
      <c r="M9" s="5">
        <v>45007</v>
      </c>
      <c r="N9" s="4">
        <v>179.97</v>
      </c>
      <c r="O9" s="35">
        <v>1</v>
      </c>
      <c r="P9" s="51">
        <f t="shared" ca="1" si="0"/>
        <v>46105.940228703701</v>
      </c>
      <c r="Q9" s="52">
        <f t="shared" si="1"/>
        <v>5089.7300000000005</v>
      </c>
      <c r="R9" s="35">
        <f t="shared" si="2"/>
        <v>29</v>
      </c>
      <c r="S9" s="52" t="str">
        <f t="shared" si="3"/>
        <v>CA</v>
      </c>
      <c r="V9" t="str">
        <v>TRX0041</v>
      </c>
      <c r="W9">
        <v>45432</v>
      </c>
      <c r="X9" t="str">
        <v>CUST021</v>
      </c>
      <c r="Y9" t="str">
        <v>Kevin Scott</v>
      </c>
      <c r="Z9" t="str">
        <v>P001</v>
      </c>
      <c r="AA9" t="str">
        <v>Laptop</v>
      </c>
      <c r="AB9" t="str">
        <v>Electronics</v>
      </c>
      <c r="AC9">
        <v>1</v>
      </c>
      <c r="AD9">
        <v>899.99</v>
      </c>
      <c r="AE9" t="str">
        <v>Credit Card</v>
      </c>
      <c r="AF9" t="str">
        <v>West</v>
      </c>
      <c r="AG9" t="str">
        <v>Premium</v>
      </c>
    </row>
    <row r="10" spans="1:33" ht="14.4" x14ac:dyDescent="0.3">
      <c r="A10" s="4" t="s">
        <v>60</v>
      </c>
      <c r="B10" s="5">
        <v>45405</v>
      </c>
      <c r="C10" s="4" t="s">
        <v>61</v>
      </c>
      <c r="D10" s="4" t="s">
        <v>62</v>
      </c>
      <c r="E10" s="4" t="s">
        <v>63</v>
      </c>
      <c r="F10" s="4" t="s">
        <v>64</v>
      </c>
      <c r="G10" s="4" t="s">
        <v>21</v>
      </c>
      <c r="H10" s="4">
        <v>3</v>
      </c>
      <c r="I10" s="4">
        <v>899.99</v>
      </c>
      <c r="J10" s="4" t="s">
        <v>36</v>
      </c>
      <c r="K10" s="4" t="s">
        <v>65</v>
      </c>
      <c r="L10" s="4" t="s">
        <v>38</v>
      </c>
      <c r="M10" s="5">
        <v>45299</v>
      </c>
      <c r="N10" s="4">
        <v>2699.97</v>
      </c>
      <c r="O10" s="35">
        <v>0</v>
      </c>
      <c r="P10" s="51">
        <f t="shared" ca="1" si="0"/>
        <v>46105.940228703701</v>
      </c>
      <c r="Q10" s="52">
        <f t="shared" si="1"/>
        <v>3509.8999999999996</v>
      </c>
      <c r="R10" s="35">
        <f t="shared" si="2"/>
        <v>24</v>
      </c>
      <c r="S10" s="52" t="str">
        <f t="shared" si="3"/>
        <v>RT</v>
      </c>
      <c r="V10" t="str">
        <v>TRX0158</v>
      </c>
      <c r="W10">
        <v>45579</v>
      </c>
      <c r="X10" t="str">
        <v>CUST027</v>
      </c>
      <c r="Y10" t="str">
        <v>George Adams</v>
      </c>
      <c r="Z10" t="str">
        <v>P001</v>
      </c>
      <c r="AA10" t="str">
        <v>Laptop</v>
      </c>
      <c r="AB10" t="str">
        <v>Electronics</v>
      </c>
      <c r="AC10">
        <v>3</v>
      </c>
      <c r="AD10">
        <v>899.99</v>
      </c>
      <c r="AE10" t="str">
        <v>PayPal</v>
      </c>
      <c r="AF10" t="str">
        <v>West</v>
      </c>
      <c r="AG10" t="str">
        <v>Basic</v>
      </c>
    </row>
    <row r="11" spans="1:33" ht="14.4" x14ac:dyDescent="0.3">
      <c r="A11" s="4" t="s">
        <v>66</v>
      </c>
      <c r="B11" s="5">
        <v>45408</v>
      </c>
      <c r="C11" s="4" t="s">
        <v>67</v>
      </c>
      <c r="D11" s="4" t="s">
        <v>68</v>
      </c>
      <c r="E11" s="4" t="s">
        <v>33</v>
      </c>
      <c r="F11" s="4" t="s">
        <v>34</v>
      </c>
      <c r="G11" s="4" t="s">
        <v>35</v>
      </c>
      <c r="H11" s="4">
        <v>3</v>
      </c>
      <c r="I11" s="4">
        <v>59.99</v>
      </c>
      <c r="J11" s="4" t="s">
        <v>22</v>
      </c>
      <c r="K11" s="4" t="s">
        <v>52</v>
      </c>
      <c r="L11" s="4" t="s">
        <v>29</v>
      </c>
      <c r="M11" s="5">
        <v>45207</v>
      </c>
      <c r="N11" s="4">
        <v>179.97</v>
      </c>
      <c r="O11" s="35">
        <v>0</v>
      </c>
      <c r="P11" s="51">
        <f t="shared" ca="1" si="0"/>
        <v>46105.940228703701</v>
      </c>
      <c r="Q11" s="52">
        <f t="shared" si="1"/>
        <v>8009.7699999999995</v>
      </c>
      <c r="R11" s="35">
        <f t="shared" si="2"/>
        <v>29</v>
      </c>
      <c r="S11" s="52" t="str">
        <f t="shared" si="3"/>
        <v>KH</v>
      </c>
    </row>
    <row r="12" spans="1:33" ht="14.4" x14ac:dyDescent="0.3">
      <c r="A12" s="4" t="s">
        <v>69</v>
      </c>
      <c r="B12" s="5">
        <v>45408</v>
      </c>
      <c r="C12" s="4" t="s">
        <v>70</v>
      </c>
      <c r="D12" s="4" t="s">
        <v>71</v>
      </c>
      <c r="E12" s="4" t="s">
        <v>46</v>
      </c>
      <c r="F12" s="4" t="s">
        <v>47</v>
      </c>
      <c r="G12" s="4" t="s">
        <v>48</v>
      </c>
      <c r="H12" s="4">
        <v>1</v>
      </c>
      <c r="I12" s="4">
        <v>149.99</v>
      </c>
      <c r="J12" s="4" t="s">
        <v>28</v>
      </c>
      <c r="K12" s="4" t="s">
        <v>52</v>
      </c>
      <c r="L12" s="4" t="s">
        <v>38</v>
      </c>
      <c r="M12" s="5">
        <v>45103</v>
      </c>
      <c r="N12" s="4">
        <v>149.99</v>
      </c>
      <c r="O12" s="35">
        <v>0</v>
      </c>
      <c r="P12" s="51">
        <f t="shared" ca="1" si="0"/>
        <v>46105.940228703701</v>
      </c>
      <c r="Q12" s="52">
        <f t="shared" si="1"/>
        <v>1979.89</v>
      </c>
      <c r="R12" s="35">
        <f t="shared" si="2"/>
        <v>35</v>
      </c>
      <c r="S12" s="52" t="str">
        <f t="shared" si="3"/>
        <v>SG</v>
      </c>
      <c r="V12" s="3" t="s">
        <v>491</v>
      </c>
    </row>
    <row r="13" spans="1:33" ht="14.4" x14ac:dyDescent="0.3">
      <c r="A13" s="4" t="s">
        <v>72</v>
      </c>
      <c r="B13" s="5">
        <v>45408</v>
      </c>
      <c r="C13" s="4" t="s">
        <v>40</v>
      </c>
      <c r="D13" s="4" t="s">
        <v>41</v>
      </c>
      <c r="E13" s="4" t="s">
        <v>46</v>
      </c>
      <c r="F13" s="4" t="s">
        <v>47</v>
      </c>
      <c r="G13" s="4" t="s">
        <v>48</v>
      </c>
      <c r="H13" s="4">
        <v>5</v>
      </c>
      <c r="I13" s="4">
        <v>149.99</v>
      </c>
      <c r="J13" s="4" t="s">
        <v>59</v>
      </c>
      <c r="K13" s="4" t="s">
        <v>42</v>
      </c>
      <c r="L13" s="4" t="s">
        <v>24</v>
      </c>
      <c r="M13" s="5">
        <v>44830</v>
      </c>
      <c r="N13" s="4">
        <v>749.95</v>
      </c>
      <c r="O13" s="35">
        <v>1</v>
      </c>
      <c r="P13" s="51">
        <f t="shared" ca="1" si="0"/>
        <v>46105.940228703701</v>
      </c>
      <c r="Q13" s="52">
        <f t="shared" si="1"/>
        <v>4309.8099999999995</v>
      </c>
      <c r="R13" s="35">
        <f t="shared" si="2"/>
        <v>35</v>
      </c>
      <c r="S13" s="52" t="str">
        <f t="shared" si="3"/>
        <v>KB</v>
      </c>
      <c r="V13" s="36" t="s">
        <v>487</v>
      </c>
      <c r="W13" s="37" t="s">
        <v>488</v>
      </c>
      <c r="X13" s="37" t="s">
        <v>489</v>
      </c>
      <c r="Y13" s="37" t="s">
        <v>490</v>
      </c>
    </row>
    <row r="14" spans="1:33" ht="14.4" x14ac:dyDescent="0.3">
      <c r="A14" s="4" t="s">
        <v>73</v>
      </c>
      <c r="B14" s="5">
        <v>45408</v>
      </c>
      <c r="C14" s="4" t="s">
        <v>74</v>
      </c>
      <c r="D14" s="4" t="s">
        <v>75</v>
      </c>
      <c r="E14" s="4" t="s">
        <v>46</v>
      </c>
      <c r="F14" s="4" t="s">
        <v>47</v>
      </c>
      <c r="G14" s="4" t="s">
        <v>48</v>
      </c>
      <c r="H14" s="4">
        <v>3</v>
      </c>
      <c r="I14" s="4">
        <v>149.99</v>
      </c>
      <c r="J14" s="4" t="s">
        <v>22</v>
      </c>
      <c r="K14" s="4" t="s">
        <v>42</v>
      </c>
      <c r="L14" s="4" t="s">
        <v>29</v>
      </c>
      <c r="M14" s="5">
        <v>44806</v>
      </c>
      <c r="N14" s="4">
        <v>449.97</v>
      </c>
      <c r="O14" s="35">
        <v>1</v>
      </c>
      <c r="P14" s="51">
        <f t="shared" ca="1" si="0"/>
        <v>46105.940228703701</v>
      </c>
      <c r="Q14" s="52">
        <f t="shared" si="1"/>
        <v>5949.85</v>
      </c>
      <c r="R14" s="35">
        <f t="shared" si="2"/>
        <v>35</v>
      </c>
      <c r="S14" s="52" t="str">
        <f t="shared" si="3"/>
        <v>PR</v>
      </c>
      <c r="U14" s="13"/>
      <c r="V14" s="13">
        <v>2024</v>
      </c>
      <c r="W14" s="12" t="s">
        <v>411</v>
      </c>
      <c r="X14">
        <v>20919.330000000002</v>
      </c>
      <c r="Y14" s="7" t="s">
        <v>423</v>
      </c>
    </row>
    <row r="15" spans="1:33" ht="14.4" x14ac:dyDescent="0.3">
      <c r="A15" s="4" t="s">
        <v>76</v>
      </c>
      <c r="B15" s="5">
        <v>45409</v>
      </c>
      <c r="C15" s="4" t="s">
        <v>77</v>
      </c>
      <c r="D15" s="4" t="s">
        <v>78</v>
      </c>
      <c r="E15" s="4" t="s">
        <v>33</v>
      </c>
      <c r="F15" s="4" t="s">
        <v>34</v>
      </c>
      <c r="G15" s="4" t="s">
        <v>35</v>
      </c>
      <c r="H15" s="4">
        <v>3</v>
      </c>
      <c r="I15" s="4">
        <v>59.99</v>
      </c>
      <c r="J15" s="4" t="s">
        <v>28</v>
      </c>
      <c r="K15" s="4" t="s">
        <v>42</v>
      </c>
      <c r="L15" s="4" t="s">
        <v>38</v>
      </c>
      <c r="M15" s="5">
        <v>45351</v>
      </c>
      <c r="N15" s="4">
        <v>179.97</v>
      </c>
      <c r="O15" s="35">
        <v>0</v>
      </c>
      <c r="P15" s="51">
        <f t="shared" ca="1" si="0"/>
        <v>46105.940228703701</v>
      </c>
      <c r="Q15" s="52">
        <f t="shared" si="1"/>
        <v>479.91999999999996</v>
      </c>
      <c r="R15" s="35">
        <f t="shared" si="2"/>
        <v>29</v>
      </c>
      <c r="S15" s="52" t="str">
        <f t="shared" si="3"/>
        <v>DG</v>
      </c>
      <c r="W15" s="12" t="s">
        <v>412</v>
      </c>
      <c r="X15">
        <v>17039.349999999999</v>
      </c>
      <c r="Y15" s="15">
        <f>(X15-X14)/X14</f>
        <v>-0.18547343533468819</v>
      </c>
      <c r="Z15" s="13"/>
      <c r="AA15" s="14"/>
    </row>
    <row r="16" spans="1:33" ht="14.4" x14ac:dyDescent="0.3">
      <c r="A16" s="4" t="s">
        <v>79</v>
      </c>
      <c r="B16" s="5">
        <v>45409</v>
      </c>
      <c r="C16" s="4" t="s">
        <v>80</v>
      </c>
      <c r="D16" s="4" t="s">
        <v>81</v>
      </c>
      <c r="E16" s="4" t="s">
        <v>82</v>
      </c>
      <c r="F16" s="4" t="s">
        <v>83</v>
      </c>
      <c r="G16" s="4" t="s">
        <v>21</v>
      </c>
      <c r="H16" s="4">
        <v>3</v>
      </c>
      <c r="I16" s="4">
        <v>699.99</v>
      </c>
      <c r="J16" s="4" t="s">
        <v>28</v>
      </c>
      <c r="K16" s="4" t="s">
        <v>52</v>
      </c>
      <c r="L16" s="4" t="s">
        <v>24</v>
      </c>
      <c r="M16" s="5">
        <v>44577</v>
      </c>
      <c r="N16" s="4">
        <v>2099.9699999999998</v>
      </c>
      <c r="O16" s="35">
        <v>2</v>
      </c>
      <c r="P16" s="51">
        <f t="shared" ca="1" si="0"/>
        <v>46105.940228703701</v>
      </c>
      <c r="Q16" s="52">
        <f t="shared" si="1"/>
        <v>4199.9399999999996</v>
      </c>
      <c r="R16" s="35">
        <f t="shared" si="2"/>
        <v>31</v>
      </c>
      <c r="S16" s="52" t="str">
        <f t="shared" si="3"/>
        <v>MR</v>
      </c>
      <c r="W16" s="12" t="s">
        <v>413</v>
      </c>
      <c r="X16">
        <v>19299.45</v>
      </c>
      <c r="Y16" s="15">
        <f>(X16-X15)/X15</f>
        <v>0.1326400361516139</v>
      </c>
      <c r="Z16" s="13"/>
      <c r="AA16" s="14"/>
    </row>
    <row r="17" spans="1:29" ht="14.4" x14ac:dyDescent="0.3">
      <c r="A17" s="4" t="s">
        <v>84</v>
      </c>
      <c r="B17" s="5">
        <v>45409</v>
      </c>
      <c r="C17" s="4" t="s">
        <v>85</v>
      </c>
      <c r="D17" s="4" t="s">
        <v>86</v>
      </c>
      <c r="E17" s="4" t="s">
        <v>63</v>
      </c>
      <c r="F17" s="4" t="s">
        <v>64</v>
      </c>
      <c r="G17" s="4" t="s">
        <v>21</v>
      </c>
      <c r="H17" s="4">
        <v>1</v>
      </c>
      <c r="I17" s="4">
        <v>899.99</v>
      </c>
      <c r="J17" s="4" t="s">
        <v>59</v>
      </c>
      <c r="K17" s="4" t="s">
        <v>42</v>
      </c>
      <c r="L17" s="4" t="s">
        <v>38</v>
      </c>
      <c r="M17" s="5">
        <v>44920</v>
      </c>
      <c r="N17" s="4">
        <v>899.99</v>
      </c>
      <c r="O17" s="35">
        <v>1</v>
      </c>
      <c r="P17" s="51">
        <f t="shared" ca="1" si="0"/>
        <v>46105.940228703701</v>
      </c>
      <c r="Q17" s="52">
        <f t="shared" si="1"/>
        <v>3779.93</v>
      </c>
      <c r="R17" s="35">
        <f t="shared" si="2"/>
        <v>24</v>
      </c>
      <c r="S17" s="52" t="str">
        <f t="shared" si="3"/>
        <v>GA</v>
      </c>
      <c r="W17" s="12" t="s">
        <v>414</v>
      </c>
      <c r="X17">
        <v>18479.399999999994</v>
      </c>
      <c r="Y17" s="15">
        <f>(X17-X16)/X16</f>
        <v>-4.2490848184793172E-2</v>
      </c>
      <c r="Z17" s="13"/>
      <c r="AA17" s="14"/>
    </row>
    <row r="18" spans="1:29" ht="14.4" x14ac:dyDescent="0.3">
      <c r="A18" s="4" t="s">
        <v>87</v>
      </c>
      <c r="B18" s="5">
        <v>45410</v>
      </c>
      <c r="C18" s="4" t="s">
        <v>88</v>
      </c>
      <c r="D18" s="4" t="s">
        <v>89</v>
      </c>
      <c r="E18" s="4" t="s">
        <v>46</v>
      </c>
      <c r="F18" s="4" t="s">
        <v>47</v>
      </c>
      <c r="G18" s="4" t="s">
        <v>48</v>
      </c>
      <c r="H18" s="4">
        <v>4</v>
      </c>
      <c r="I18" s="4">
        <v>149.99</v>
      </c>
      <c r="J18" s="4" t="s">
        <v>59</v>
      </c>
      <c r="K18" s="4" t="s">
        <v>42</v>
      </c>
      <c r="L18" s="4" t="s">
        <v>29</v>
      </c>
      <c r="M18" s="5">
        <v>45374</v>
      </c>
      <c r="N18" s="4">
        <v>599.96</v>
      </c>
      <c r="O18" s="35">
        <v>0</v>
      </c>
      <c r="P18" s="51">
        <f t="shared" ca="1" si="0"/>
        <v>46105.940228703701</v>
      </c>
      <c r="Q18" s="52">
        <f t="shared" si="1"/>
        <v>15659.65</v>
      </c>
      <c r="R18" s="35">
        <f t="shared" si="2"/>
        <v>35</v>
      </c>
      <c r="S18" s="52" t="str">
        <f t="shared" si="3"/>
        <v>MC</v>
      </c>
      <c r="W18" s="12" t="s">
        <v>415</v>
      </c>
      <c r="X18">
        <v>15759.429999999997</v>
      </c>
      <c r="Y18" s="15">
        <f>(X18-X17)/X17</f>
        <v>-0.14718930268298747</v>
      </c>
      <c r="Z18" s="13"/>
      <c r="AA18" s="14"/>
    </row>
    <row r="19" spans="1:29" ht="14.4" x14ac:dyDescent="0.3">
      <c r="A19" s="4" t="s">
        <v>90</v>
      </c>
      <c r="B19" s="5">
        <v>45410</v>
      </c>
      <c r="C19" s="4" t="s">
        <v>91</v>
      </c>
      <c r="D19" s="4" t="s">
        <v>92</v>
      </c>
      <c r="E19" s="4" t="s">
        <v>82</v>
      </c>
      <c r="F19" s="4" t="s">
        <v>83</v>
      </c>
      <c r="G19" s="4" t="s">
        <v>21</v>
      </c>
      <c r="H19" s="4">
        <v>2</v>
      </c>
      <c r="I19" s="4">
        <v>699.99</v>
      </c>
      <c r="J19" s="4" t="s">
        <v>22</v>
      </c>
      <c r="K19" s="4" t="s">
        <v>42</v>
      </c>
      <c r="L19" s="4" t="s">
        <v>24</v>
      </c>
      <c r="M19" s="5">
        <v>44781</v>
      </c>
      <c r="N19" s="4">
        <v>1399.98</v>
      </c>
      <c r="O19" s="35">
        <v>1</v>
      </c>
      <c r="P19" s="51">
        <f t="shared" ca="1" si="0"/>
        <v>46105.940228703701</v>
      </c>
      <c r="Q19" s="52">
        <f t="shared" si="1"/>
        <v>1909.93</v>
      </c>
      <c r="R19" s="35">
        <f t="shared" si="2"/>
        <v>31</v>
      </c>
      <c r="S19" s="52" t="str">
        <f t="shared" si="3"/>
        <v>MG</v>
      </c>
      <c r="W19" s="12" t="s">
        <v>416</v>
      </c>
      <c r="X19">
        <v>12989.509999999997</v>
      </c>
      <c r="Y19" s="15">
        <f>(X19-X18)/X18</f>
        <v>-0.17576270207742289</v>
      </c>
      <c r="Z19" s="13"/>
      <c r="AA19" s="14"/>
    </row>
    <row r="20" spans="1:29" ht="14.4" x14ac:dyDescent="0.3">
      <c r="A20" s="4" t="s">
        <v>93</v>
      </c>
      <c r="B20" s="5">
        <v>45410</v>
      </c>
      <c r="C20" s="4" t="s">
        <v>88</v>
      </c>
      <c r="D20" s="4" t="s">
        <v>89</v>
      </c>
      <c r="E20" s="4" t="s">
        <v>63</v>
      </c>
      <c r="F20" s="4" t="s">
        <v>64</v>
      </c>
      <c r="G20" s="4" t="s">
        <v>21</v>
      </c>
      <c r="H20" s="4">
        <v>4</v>
      </c>
      <c r="I20" s="4">
        <v>899.99</v>
      </c>
      <c r="J20" s="4" t="s">
        <v>28</v>
      </c>
      <c r="K20" s="4" t="s">
        <v>52</v>
      </c>
      <c r="L20" s="4" t="s">
        <v>38</v>
      </c>
      <c r="M20" s="5">
        <v>45327</v>
      </c>
      <c r="N20" s="4">
        <v>3599.96</v>
      </c>
      <c r="O20" s="35">
        <v>0</v>
      </c>
      <c r="P20" s="51">
        <f t="shared" ca="1" si="0"/>
        <v>46105.940228703701</v>
      </c>
      <c r="Q20" s="52">
        <f t="shared" si="1"/>
        <v>15659.65</v>
      </c>
      <c r="R20" s="35">
        <f t="shared" si="2"/>
        <v>24</v>
      </c>
      <c r="S20" s="52" t="str">
        <f t="shared" si="3"/>
        <v>MC</v>
      </c>
      <c r="W20" s="12" t="s">
        <v>417</v>
      </c>
      <c r="X20">
        <v>20609.52</v>
      </c>
      <c r="Y20" s="15">
        <f>(X20-X19)/X19</f>
        <v>0.58662797903847075</v>
      </c>
      <c r="Z20" s="13"/>
      <c r="AA20" s="14"/>
    </row>
    <row r="21" spans="1:29" ht="15.75" customHeight="1" x14ac:dyDescent="0.3">
      <c r="A21" s="4" t="s">
        <v>94</v>
      </c>
      <c r="B21" s="5">
        <v>45410</v>
      </c>
      <c r="C21" s="4" t="s">
        <v>95</v>
      </c>
      <c r="D21" s="4" t="s">
        <v>96</v>
      </c>
      <c r="E21" s="4" t="s">
        <v>19</v>
      </c>
      <c r="F21" s="4" t="s">
        <v>20</v>
      </c>
      <c r="G21" s="4" t="s">
        <v>21</v>
      </c>
      <c r="H21" s="4">
        <v>3</v>
      </c>
      <c r="I21" s="4">
        <v>249.99</v>
      </c>
      <c r="J21" s="4" t="s">
        <v>28</v>
      </c>
      <c r="K21" s="4" t="s">
        <v>42</v>
      </c>
      <c r="L21" s="4" t="s">
        <v>29</v>
      </c>
      <c r="M21" s="5">
        <v>45224</v>
      </c>
      <c r="N21" s="4">
        <v>749.97</v>
      </c>
      <c r="O21" s="35">
        <v>0</v>
      </c>
      <c r="P21" s="51">
        <f t="shared" ca="1" si="0"/>
        <v>46105.940228703701</v>
      </c>
      <c r="Q21" s="52">
        <f t="shared" si="1"/>
        <v>4789.7900000000009</v>
      </c>
      <c r="R21" s="35">
        <f t="shared" si="2"/>
        <v>26</v>
      </c>
      <c r="S21" s="52" t="str">
        <f t="shared" si="3"/>
        <v>VS</v>
      </c>
      <c r="W21" s="12" t="s">
        <v>418</v>
      </c>
      <c r="X21">
        <v>12309.439999999999</v>
      </c>
      <c r="Y21" s="15">
        <f>(X21-X20)/X20</f>
        <v>-0.40273038867474842</v>
      </c>
      <c r="Z21" s="13"/>
      <c r="AA21" s="14"/>
    </row>
    <row r="22" spans="1:29" ht="15.75" customHeight="1" x14ac:dyDescent="0.3">
      <c r="A22" s="4" t="s">
        <v>97</v>
      </c>
      <c r="B22" s="5">
        <v>45412</v>
      </c>
      <c r="C22" s="4" t="s">
        <v>98</v>
      </c>
      <c r="D22" s="4" t="s">
        <v>99</v>
      </c>
      <c r="E22" s="4" t="s">
        <v>82</v>
      </c>
      <c r="F22" s="4" t="s">
        <v>83</v>
      </c>
      <c r="G22" s="4" t="s">
        <v>21</v>
      </c>
      <c r="H22" s="4">
        <v>5</v>
      </c>
      <c r="I22" s="4">
        <v>699.99</v>
      </c>
      <c r="J22" s="4" t="s">
        <v>22</v>
      </c>
      <c r="K22" s="4" t="s">
        <v>52</v>
      </c>
      <c r="L22" s="4" t="s">
        <v>24</v>
      </c>
      <c r="M22" s="5">
        <v>45167</v>
      </c>
      <c r="N22" s="4">
        <v>3499.95</v>
      </c>
      <c r="O22" s="35">
        <v>0</v>
      </c>
      <c r="P22" s="51">
        <f t="shared" ca="1" si="0"/>
        <v>46105.940228703701</v>
      </c>
      <c r="Q22" s="52">
        <f t="shared" si="1"/>
        <v>10649.8</v>
      </c>
      <c r="R22" s="35">
        <f t="shared" si="2"/>
        <v>31</v>
      </c>
      <c r="S22" s="52" t="str">
        <f t="shared" si="3"/>
        <v>BY</v>
      </c>
      <c r="W22" s="12" t="s">
        <v>419</v>
      </c>
      <c r="X22">
        <v>23039.3</v>
      </c>
      <c r="Y22" s="15">
        <f>(X22-X21)/X21</f>
        <v>0.87167734681675213</v>
      </c>
      <c r="Z22" s="13"/>
      <c r="AA22" s="14"/>
    </row>
    <row r="23" spans="1:29" ht="15.75" customHeight="1" x14ac:dyDescent="0.3">
      <c r="A23" s="4" t="s">
        <v>100</v>
      </c>
      <c r="B23" s="5">
        <v>45413</v>
      </c>
      <c r="C23" s="4" t="s">
        <v>101</v>
      </c>
      <c r="D23" s="4" t="s">
        <v>102</v>
      </c>
      <c r="E23" s="4" t="s">
        <v>82</v>
      </c>
      <c r="F23" s="4" t="s">
        <v>83</v>
      </c>
      <c r="G23" s="4" t="s">
        <v>21</v>
      </c>
      <c r="H23" s="4">
        <v>4</v>
      </c>
      <c r="I23" s="4">
        <v>699.99</v>
      </c>
      <c r="J23" s="4" t="s">
        <v>22</v>
      </c>
      <c r="K23" s="4" t="s">
        <v>65</v>
      </c>
      <c r="L23" s="4" t="s">
        <v>38</v>
      </c>
      <c r="M23" s="5">
        <v>44409</v>
      </c>
      <c r="N23" s="4">
        <v>2799.96</v>
      </c>
      <c r="O23" s="35">
        <v>2</v>
      </c>
      <c r="P23" s="51">
        <f t="shared" ca="1" si="0"/>
        <v>46105.940228703701</v>
      </c>
      <c r="Q23" s="52">
        <f t="shared" si="1"/>
        <v>9799.73</v>
      </c>
      <c r="R23" s="35">
        <f t="shared" si="2"/>
        <v>31</v>
      </c>
      <c r="S23" s="52" t="str">
        <f t="shared" si="3"/>
        <v>PM</v>
      </c>
      <c r="U23" s="13"/>
      <c r="V23" s="13" t="s">
        <v>409</v>
      </c>
      <c r="W23" s="12" t="s">
        <v>420</v>
      </c>
      <c r="X23">
        <v>25799.15</v>
      </c>
      <c r="Y23" s="15">
        <f>(X23-X22)/X22</f>
        <v>0.11978879566653511</v>
      </c>
      <c r="Z23" s="13"/>
      <c r="AA23" s="14"/>
    </row>
    <row r="24" spans="1:29" ht="15.75" customHeight="1" x14ac:dyDescent="0.3">
      <c r="A24" s="4" t="s">
        <v>103</v>
      </c>
      <c r="B24" s="5">
        <v>45415</v>
      </c>
      <c r="C24" s="4" t="s">
        <v>104</v>
      </c>
      <c r="D24" s="4" t="s">
        <v>105</v>
      </c>
      <c r="E24" s="4" t="s">
        <v>19</v>
      </c>
      <c r="F24" s="4" t="s">
        <v>20</v>
      </c>
      <c r="G24" s="4" t="s">
        <v>21</v>
      </c>
      <c r="H24" s="4">
        <v>4</v>
      </c>
      <c r="I24" s="4">
        <v>249.99</v>
      </c>
      <c r="J24" s="4" t="s">
        <v>36</v>
      </c>
      <c r="K24" s="4" t="s">
        <v>42</v>
      </c>
      <c r="L24" s="4" t="s">
        <v>38</v>
      </c>
      <c r="M24" s="5">
        <v>44468</v>
      </c>
      <c r="N24" s="4">
        <v>999.96</v>
      </c>
      <c r="O24" s="35">
        <v>2</v>
      </c>
      <c r="P24" s="51">
        <f t="shared" ca="1" si="0"/>
        <v>46105.940228703701</v>
      </c>
      <c r="Q24" s="52">
        <f t="shared" si="1"/>
        <v>3769.8300000000004</v>
      </c>
      <c r="R24" s="35">
        <f t="shared" si="2"/>
        <v>26</v>
      </c>
      <c r="S24" s="52" t="str">
        <f t="shared" si="3"/>
        <v>CP</v>
      </c>
      <c r="W24" s="12" t="s">
        <v>421</v>
      </c>
      <c r="X24">
        <v>16069.379999999997</v>
      </c>
      <c r="Y24" s="15">
        <f>(X24-X23)/X23</f>
        <v>-0.37713529321702471</v>
      </c>
      <c r="Z24" s="13"/>
      <c r="AA24" s="14"/>
    </row>
    <row r="25" spans="1:29" ht="15.75" customHeight="1" x14ac:dyDescent="0.3">
      <c r="A25" s="4" t="s">
        <v>106</v>
      </c>
      <c r="B25" s="5">
        <v>45416</v>
      </c>
      <c r="C25" s="4" t="s">
        <v>88</v>
      </c>
      <c r="D25" s="4" t="s">
        <v>89</v>
      </c>
      <c r="E25" s="4" t="s">
        <v>107</v>
      </c>
      <c r="F25" s="4" t="s">
        <v>108</v>
      </c>
      <c r="G25" s="4" t="s">
        <v>48</v>
      </c>
      <c r="H25" s="4">
        <v>4</v>
      </c>
      <c r="I25" s="4">
        <v>299.99</v>
      </c>
      <c r="J25" s="4" t="s">
        <v>22</v>
      </c>
      <c r="K25" s="4" t="s">
        <v>52</v>
      </c>
      <c r="L25" s="4" t="s">
        <v>29</v>
      </c>
      <c r="M25" s="5">
        <v>44716</v>
      </c>
      <c r="N25" s="4">
        <v>1199.96</v>
      </c>
      <c r="O25" s="35">
        <v>1</v>
      </c>
      <c r="P25" s="51">
        <f t="shared" ca="1" si="0"/>
        <v>46105.940228703701</v>
      </c>
      <c r="Q25" s="52">
        <f t="shared" si="1"/>
        <v>15659.65</v>
      </c>
      <c r="R25" s="35">
        <f t="shared" si="2"/>
        <v>26</v>
      </c>
      <c r="S25" s="52" t="str">
        <f t="shared" si="3"/>
        <v>MC</v>
      </c>
      <c r="W25" s="12" t="s">
        <v>422</v>
      </c>
      <c r="X25">
        <v>19899.379999999997</v>
      </c>
      <c r="Y25" s="15">
        <f>(X25-X24)/X24</f>
        <v>0.23834149170658736</v>
      </c>
      <c r="Z25" s="13"/>
      <c r="AA25" s="14"/>
    </row>
    <row r="26" spans="1:29" ht="15.75" customHeight="1" x14ac:dyDescent="0.3">
      <c r="A26" s="4" t="s">
        <v>109</v>
      </c>
      <c r="B26" s="5">
        <v>45422</v>
      </c>
      <c r="C26" s="4" t="s">
        <v>110</v>
      </c>
      <c r="D26" s="4" t="s">
        <v>111</v>
      </c>
      <c r="E26" s="4" t="s">
        <v>19</v>
      </c>
      <c r="F26" s="4" t="s">
        <v>20</v>
      </c>
      <c r="G26" s="4" t="s">
        <v>21</v>
      </c>
      <c r="H26" s="4">
        <v>5</v>
      </c>
      <c r="I26" s="4">
        <v>249.99</v>
      </c>
      <c r="J26" s="4" t="s">
        <v>28</v>
      </c>
      <c r="K26" s="4" t="s">
        <v>52</v>
      </c>
      <c r="L26" s="4" t="s">
        <v>38</v>
      </c>
      <c r="M26" s="5">
        <v>44525</v>
      </c>
      <c r="N26" s="4">
        <v>1249.95</v>
      </c>
      <c r="O26" s="35">
        <v>2</v>
      </c>
      <c r="P26" s="51">
        <f t="shared" ca="1" si="0"/>
        <v>46105.940228703701</v>
      </c>
      <c r="Q26" s="52">
        <f t="shared" si="1"/>
        <v>4189.7700000000004</v>
      </c>
      <c r="R26" s="35">
        <f t="shared" si="2"/>
        <v>26</v>
      </c>
      <c r="S26" s="52" t="str">
        <f t="shared" si="3"/>
        <v>NC</v>
      </c>
      <c r="W26" s="12" t="s">
        <v>411</v>
      </c>
      <c r="X26">
        <v>6979.829999999999</v>
      </c>
      <c r="Y26" s="15">
        <f>(X26-X25)/X25</f>
        <v>-0.6492438457881603</v>
      </c>
      <c r="Z26" s="13"/>
      <c r="AA26" s="14"/>
    </row>
    <row r="27" spans="1:29" ht="15.75" customHeight="1" x14ac:dyDescent="0.3">
      <c r="A27" s="4" t="s">
        <v>112</v>
      </c>
      <c r="B27" s="5">
        <v>45424</v>
      </c>
      <c r="C27" s="4" t="s">
        <v>70</v>
      </c>
      <c r="D27" s="4" t="s">
        <v>71</v>
      </c>
      <c r="E27" s="4" t="s">
        <v>107</v>
      </c>
      <c r="F27" s="4" t="s">
        <v>108</v>
      </c>
      <c r="G27" s="4" t="s">
        <v>48</v>
      </c>
      <c r="H27" s="4">
        <v>5</v>
      </c>
      <c r="I27" s="4">
        <v>299.99</v>
      </c>
      <c r="J27" s="4" t="s">
        <v>36</v>
      </c>
      <c r="K27" s="4" t="s">
        <v>65</v>
      </c>
      <c r="L27" s="4" t="s">
        <v>24</v>
      </c>
      <c r="M27" s="5">
        <v>45168</v>
      </c>
      <c r="N27" s="4">
        <v>1499.95</v>
      </c>
      <c r="O27" s="35">
        <v>0</v>
      </c>
      <c r="P27" s="51">
        <f t="shared" ca="1" si="0"/>
        <v>46105.940228703701</v>
      </c>
      <c r="Q27" s="52">
        <f t="shared" si="1"/>
        <v>1979.89</v>
      </c>
      <c r="R27" s="35">
        <f t="shared" si="2"/>
        <v>26</v>
      </c>
      <c r="S27" s="52" t="str">
        <f t="shared" si="3"/>
        <v>SG</v>
      </c>
    </row>
    <row r="28" spans="1:29" ht="15.75" customHeight="1" x14ac:dyDescent="0.3">
      <c r="A28" s="4" t="s">
        <v>113</v>
      </c>
      <c r="B28" s="5">
        <v>45424</v>
      </c>
      <c r="C28" s="4" t="s">
        <v>114</v>
      </c>
      <c r="D28" s="4" t="s">
        <v>115</v>
      </c>
      <c r="E28" s="4" t="s">
        <v>116</v>
      </c>
      <c r="F28" s="4" t="s">
        <v>117</v>
      </c>
      <c r="G28" s="4" t="s">
        <v>35</v>
      </c>
      <c r="H28" s="4">
        <v>3</v>
      </c>
      <c r="I28" s="4">
        <v>79.989999999999995</v>
      </c>
      <c r="J28" s="4" t="s">
        <v>36</v>
      </c>
      <c r="K28" s="4" t="s">
        <v>65</v>
      </c>
      <c r="L28" s="4" t="s">
        <v>29</v>
      </c>
      <c r="M28" s="5">
        <v>45012</v>
      </c>
      <c r="N28" s="4">
        <v>239.97</v>
      </c>
      <c r="O28" s="35">
        <v>1</v>
      </c>
      <c r="P28" s="51">
        <f t="shared" ca="1" si="0"/>
        <v>46105.940228703701</v>
      </c>
      <c r="Q28" s="52">
        <f t="shared" si="1"/>
        <v>1289.9000000000001</v>
      </c>
      <c r="R28" s="35">
        <f t="shared" si="2"/>
        <v>14</v>
      </c>
      <c r="S28" s="52" t="str">
        <f t="shared" si="3"/>
        <v>LM</v>
      </c>
    </row>
    <row r="29" spans="1:29" ht="15.75" customHeight="1" x14ac:dyDescent="0.3">
      <c r="A29" s="4" t="s">
        <v>118</v>
      </c>
      <c r="B29" s="5">
        <v>45424</v>
      </c>
      <c r="C29" s="4" t="s">
        <v>101</v>
      </c>
      <c r="D29" s="4" t="s">
        <v>102</v>
      </c>
      <c r="E29" s="4" t="s">
        <v>119</v>
      </c>
      <c r="F29" s="4" t="s">
        <v>120</v>
      </c>
      <c r="G29" s="4" t="s">
        <v>21</v>
      </c>
      <c r="H29" s="4">
        <v>5</v>
      </c>
      <c r="I29" s="4">
        <v>89.99</v>
      </c>
      <c r="J29" s="4" t="s">
        <v>22</v>
      </c>
      <c r="K29" s="4" t="s">
        <v>42</v>
      </c>
      <c r="L29" s="4" t="s">
        <v>29</v>
      </c>
      <c r="M29" s="5">
        <v>44919</v>
      </c>
      <c r="N29" s="4">
        <v>449.95</v>
      </c>
      <c r="O29" s="35">
        <v>1</v>
      </c>
      <c r="P29" s="51">
        <f t="shared" ca="1" si="0"/>
        <v>46105.940228703701</v>
      </c>
      <c r="Q29" s="52">
        <f t="shared" si="1"/>
        <v>9799.73</v>
      </c>
      <c r="R29" s="35">
        <f t="shared" si="2"/>
        <v>34</v>
      </c>
      <c r="S29" s="52" t="str">
        <f t="shared" si="3"/>
        <v>PM</v>
      </c>
      <c r="V29" s="3" t="s">
        <v>492</v>
      </c>
      <c r="AB29" s="17">
        <f>SUM(I2:I251)</f>
        <v>74167.500000000015</v>
      </c>
      <c r="AC29">
        <f>AA30*AB29</f>
        <v>55848127.500000007</v>
      </c>
    </row>
    <row r="30" spans="1:29" ht="15.75" customHeight="1" x14ac:dyDescent="0.3">
      <c r="A30" s="4" t="s">
        <v>121</v>
      </c>
      <c r="B30" s="5">
        <v>45425</v>
      </c>
      <c r="C30" s="4" t="s">
        <v>122</v>
      </c>
      <c r="D30" s="4" t="s">
        <v>123</v>
      </c>
      <c r="E30" s="4" t="s">
        <v>33</v>
      </c>
      <c r="F30" s="4" t="s">
        <v>34</v>
      </c>
      <c r="G30" s="4" t="s">
        <v>35</v>
      </c>
      <c r="H30" s="4">
        <v>2</v>
      </c>
      <c r="I30" s="4">
        <v>59.99</v>
      </c>
      <c r="J30" s="4" t="s">
        <v>59</v>
      </c>
      <c r="K30" s="4" t="s">
        <v>23</v>
      </c>
      <c r="L30" s="4" t="s">
        <v>38</v>
      </c>
      <c r="M30" s="5">
        <v>45214</v>
      </c>
      <c r="N30" s="4">
        <v>119.98</v>
      </c>
      <c r="O30" s="35">
        <v>0</v>
      </c>
      <c r="P30" s="51">
        <f t="shared" ca="1" si="0"/>
        <v>46105.940228703701</v>
      </c>
      <c r="Q30" s="52">
        <f t="shared" si="1"/>
        <v>6459.79</v>
      </c>
      <c r="R30" s="35">
        <f t="shared" si="2"/>
        <v>29</v>
      </c>
      <c r="S30" s="52" t="str">
        <f t="shared" si="3"/>
        <v>HR</v>
      </c>
      <c r="V30" s="37" t="s">
        <v>497</v>
      </c>
      <c r="W30" s="37" t="s">
        <v>9</v>
      </c>
      <c r="X30" s="37" t="s">
        <v>494</v>
      </c>
      <c r="Y30" s="37" t="s">
        <v>495</v>
      </c>
      <c r="AA30">
        <v>753</v>
      </c>
      <c r="AB30">
        <v>74168</v>
      </c>
      <c r="AC30">
        <v>5584128</v>
      </c>
    </row>
    <row r="31" spans="1:29" ht="15.75" customHeight="1" x14ac:dyDescent="0.3">
      <c r="A31" s="4" t="s">
        <v>124</v>
      </c>
      <c r="B31" s="5">
        <v>45427</v>
      </c>
      <c r="C31" s="4" t="s">
        <v>125</v>
      </c>
      <c r="D31" s="4" t="s">
        <v>126</v>
      </c>
      <c r="E31" s="4" t="s">
        <v>33</v>
      </c>
      <c r="F31" s="4" t="s">
        <v>34</v>
      </c>
      <c r="G31" s="4" t="s">
        <v>35</v>
      </c>
      <c r="H31" s="4">
        <v>4</v>
      </c>
      <c r="I31" s="4">
        <v>59.99</v>
      </c>
      <c r="J31" s="4" t="s">
        <v>59</v>
      </c>
      <c r="K31" s="4" t="s">
        <v>65</v>
      </c>
      <c r="L31" s="4" t="s">
        <v>38</v>
      </c>
      <c r="M31" s="5">
        <v>44867</v>
      </c>
      <c r="N31" s="4">
        <v>239.96</v>
      </c>
      <c r="O31" s="35">
        <v>1</v>
      </c>
      <c r="P31" s="51">
        <f t="shared" ca="1" si="0"/>
        <v>46105.940228703701</v>
      </c>
      <c r="Q31" s="52">
        <f t="shared" si="1"/>
        <v>11919.769999999999</v>
      </c>
      <c r="R31" s="35">
        <f t="shared" si="2"/>
        <v>29</v>
      </c>
      <c r="S31" s="52" t="str">
        <f t="shared" si="3"/>
        <v>EM</v>
      </c>
      <c r="W31">
        <v>3</v>
      </c>
      <c r="X31">
        <v>250</v>
      </c>
      <c r="Y31">
        <v>700</v>
      </c>
      <c r="AA31">
        <v>753</v>
      </c>
    </row>
    <row r="32" spans="1:29" ht="15.75" customHeight="1" x14ac:dyDescent="0.3">
      <c r="A32" s="4" t="s">
        <v>127</v>
      </c>
      <c r="B32" s="5">
        <v>45427</v>
      </c>
      <c r="C32" s="4" t="s">
        <v>57</v>
      </c>
      <c r="D32" s="4" t="s">
        <v>58</v>
      </c>
      <c r="E32" s="4" t="s">
        <v>128</v>
      </c>
      <c r="F32" s="4" t="s">
        <v>129</v>
      </c>
      <c r="G32" s="4" t="s">
        <v>48</v>
      </c>
      <c r="H32" s="4">
        <v>5</v>
      </c>
      <c r="I32" s="4">
        <v>199.99</v>
      </c>
      <c r="J32" s="4" t="s">
        <v>22</v>
      </c>
      <c r="K32" s="4" t="s">
        <v>37</v>
      </c>
      <c r="L32" s="4" t="s">
        <v>38</v>
      </c>
      <c r="M32" s="5">
        <v>44412</v>
      </c>
      <c r="N32" s="4">
        <v>999.95</v>
      </c>
      <c r="O32" s="35">
        <v>2</v>
      </c>
      <c r="P32" s="51">
        <f t="shared" ca="1" si="0"/>
        <v>46105.940228703701</v>
      </c>
      <c r="Q32" s="52">
        <f t="shared" si="1"/>
        <v>5089.7300000000005</v>
      </c>
      <c r="R32" s="35">
        <f t="shared" si="2"/>
        <v>15</v>
      </c>
      <c r="S32" s="52" t="str">
        <f t="shared" si="3"/>
        <v>CA</v>
      </c>
      <c r="V32" s="38" t="s">
        <v>496</v>
      </c>
      <c r="W32">
        <f>H2</f>
        <v>3</v>
      </c>
      <c r="X32">
        <v>256.66666666666669</v>
      </c>
      <c r="Y32">
        <f>W32*X32</f>
        <v>770</v>
      </c>
    </row>
    <row r="33" spans="1:23" ht="15.75" customHeight="1" x14ac:dyDescent="0.3">
      <c r="A33" s="4" t="s">
        <v>130</v>
      </c>
      <c r="B33" s="5">
        <v>45428</v>
      </c>
      <c r="C33" s="4" t="s">
        <v>131</v>
      </c>
      <c r="D33" s="4" t="s">
        <v>132</v>
      </c>
      <c r="E33" s="4" t="s">
        <v>46</v>
      </c>
      <c r="F33" s="4" t="s">
        <v>47</v>
      </c>
      <c r="G33" s="4" t="s">
        <v>48</v>
      </c>
      <c r="H33" s="4">
        <v>2</v>
      </c>
      <c r="I33" s="4">
        <v>149.99</v>
      </c>
      <c r="J33" s="4" t="s">
        <v>28</v>
      </c>
      <c r="K33" s="4" t="s">
        <v>52</v>
      </c>
      <c r="L33" s="4" t="s">
        <v>24</v>
      </c>
      <c r="M33" s="5">
        <v>44823</v>
      </c>
      <c r="N33" s="4">
        <v>299.98</v>
      </c>
      <c r="O33" s="35">
        <v>1</v>
      </c>
      <c r="P33" s="51">
        <f t="shared" ca="1" si="0"/>
        <v>46105.940228703701</v>
      </c>
      <c r="Q33" s="52">
        <f t="shared" si="1"/>
        <v>2039.8000000000002</v>
      </c>
      <c r="R33" s="35">
        <f t="shared" si="2"/>
        <v>35</v>
      </c>
      <c r="S33" s="52" t="str">
        <f t="shared" si="3"/>
        <v>LA</v>
      </c>
    </row>
    <row r="34" spans="1:23" ht="15.75" customHeight="1" x14ac:dyDescent="0.3">
      <c r="A34" s="4" t="s">
        <v>133</v>
      </c>
      <c r="B34" s="5">
        <v>45430</v>
      </c>
      <c r="C34" s="4" t="s">
        <v>134</v>
      </c>
      <c r="D34" s="4" t="s">
        <v>135</v>
      </c>
      <c r="E34" s="4" t="s">
        <v>46</v>
      </c>
      <c r="F34" s="4" t="s">
        <v>47</v>
      </c>
      <c r="G34" s="4" t="s">
        <v>48</v>
      </c>
      <c r="H34" s="4">
        <v>3</v>
      </c>
      <c r="I34" s="4">
        <v>149.99</v>
      </c>
      <c r="J34" s="4" t="s">
        <v>28</v>
      </c>
      <c r="K34" s="4" t="s">
        <v>52</v>
      </c>
      <c r="L34" s="4" t="s">
        <v>29</v>
      </c>
      <c r="M34" s="5">
        <v>45068</v>
      </c>
      <c r="N34" s="4">
        <v>449.97</v>
      </c>
      <c r="O34" s="35">
        <v>0</v>
      </c>
      <c r="P34" s="51">
        <f t="shared" ca="1" si="0"/>
        <v>46105.940228703701</v>
      </c>
      <c r="Q34" s="52">
        <f t="shared" si="1"/>
        <v>1229.8800000000001</v>
      </c>
      <c r="R34" s="35">
        <f t="shared" si="2"/>
        <v>35</v>
      </c>
      <c r="S34" s="52" t="str">
        <f t="shared" si="3"/>
        <v>EW</v>
      </c>
    </row>
    <row r="35" spans="1:23" ht="15.75" customHeight="1" x14ac:dyDescent="0.3">
      <c r="A35" s="4" t="s">
        <v>136</v>
      </c>
      <c r="B35" s="5">
        <v>45432</v>
      </c>
      <c r="C35" s="4" t="s">
        <v>31</v>
      </c>
      <c r="D35" s="4" t="s">
        <v>32</v>
      </c>
      <c r="E35" s="4" t="s">
        <v>63</v>
      </c>
      <c r="F35" s="4" t="s">
        <v>64</v>
      </c>
      <c r="G35" s="4" t="s">
        <v>21</v>
      </c>
      <c r="H35" s="4">
        <v>1</v>
      </c>
      <c r="I35" s="4">
        <v>899.99</v>
      </c>
      <c r="J35" s="4" t="s">
        <v>28</v>
      </c>
      <c r="K35" s="4" t="s">
        <v>52</v>
      </c>
      <c r="L35" s="4" t="s">
        <v>29</v>
      </c>
      <c r="M35" s="5">
        <v>44578</v>
      </c>
      <c r="N35" s="4">
        <v>899.99</v>
      </c>
      <c r="O35" s="35">
        <v>2</v>
      </c>
      <c r="P35" s="51">
        <f t="shared" ca="1" si="0"/>
        <v>46105.940228703701</v>
      </c>
      <c r="Q35" s="52">
        <f t="shared" si="1"/>
        <v>3259.87</v>
      </c>
      <c r="R35" s="35">
        <f t="shared" si="2"/>
        <v>24</v>
      </c>
      <c r="S35" s="52" t="str">
        <f t="shared" si="3"/>
        <v>KS</v>
      </c>
      <c r="V35" s="3" t="s">
        <v>493</v>
      </c>
    </row>
    <row r="36" spans="1:23" ht="15.75" customHeight="1" x14ac:dyDescent="0.3">
      <c r="A36" s="4" t="s">
        <v>137</v>
      </c>
      <c r="B36" s="5">
        <v>45434</v>
      </c>
      <c r="C36" s="4" t="s">
        <v>101</v>
      </c>
      <c r="D36" s="4" t="s">
        <v>102</v>
      </c>
      <c r="E36" s="4" t="s">
        <v>107</v>
      </c>
      <c r="F36" s="4" t="s">
        <v>108</v>
      </c>
      <c r="G36" s="4" t="s">
        <v>48</v>
      </c>
      <c r="H36" s="4">
        <v>3</v>
      </c>
      <c r="I36" s="4">
        <v>299.99</v>
      </c>
      <c r="J36" s="4" t="s">
        <v>28</v>
      </c>
      <c r="K36" s="4" t="s">
        <v>65</v>
      </c>
      <c r="L36" s="4" t="s">
        <v>24</v>
      </c>
      <c r="M36" s="5">
        <v>44824</v>
      </c>
      <c r="N36" s="4">
        <v>899.97</v>
      </c>
      <c r="O36" s="35">
        <v>1</v>
      </c>
      <c r="P36" s="51">
        <f t="shared" ca="1" si="0"/>
        <v>46105.940228703701</v>
      </c>
      <c r="Q36" s="52">
        <f t="shared" si="1"/>
        <v>9799.73</v>
      </c>
      <c r="R36" s="35">
        <f t="shared" si="2"/>
        <v>26</v>
      </c>
      <c r="S36" s="52" t="str">
        <f t="shared" si="3"/>
        <v>PM</v>
      </c>
      <c r="V36" s="3" t="s">
        <v>470</v>
      </c>
      <c r="W36" s="3" t="s">
        <v>471</v>
      </c>
    </row>
    <row r="37" spans="1:23" ht="15.75" customHeight="1" x14ac:dyDescent="0.3">
      <c r="A37" s="4" t="s">
        <v>138</v>
      </c>
      <c r="B37" s="5">
        <v>45435</v>
      </c>
      <c r="C37" s="4" t="s">
        <v>131</v>
      </c>
      <c r="D37" s="4" t="s">
        <v>132</v>
      </c>
      <c r="E37" s="4" t="s">
        <v>116</v>
      </c>
      <c r="F37" s="4" t="s">
        <v>117</v>
      </c>
      <c r="G37" s="4" t="s">
        <v>35</v>
      </c>
      <c r="H37" s="4">
        <v>3</v>
      </c>
      <c r="I37" s="4">
        <v>79.989999999999995</v>
      </c>
      <c r="J37" s="4" t="s">
        <v>22</v>
      </c>
      <c r="K37" s="4" t="s">
        <v>37</v>
      </c>
      <c r="L37" s="4" t="s">
        <v>24</v>
      </c>
      <c r="M37" s="5">
        <v>45046</v>
      </c>
      <c r="N37" s="4">
        <v>239.97</v>
      </c>
      <c r="O37" s="35">
        <v>1</v>
      </c>
      <c r="P37" s="51">
        <f t="shared" ca="1" si="0"/>
        <v>46105.940228703701</v>
      </c>
      <c r="Q37" s="52">
        <f t="shared" si="1"/>
        <v>2039.8000000000002</v>
      </c>
      <c r="R37" s="35">
        <f t="shared" si="2"/>
        <v>14</v>
      </c>
      <c r="S37" s="52" t="str">
        <f t="shared" si="3"/>
        <v>LA</v>
      </c>
      <c r="V37">
        <v>35</v>
      </c>
      <c r="W37" t="str">
        <f>INDEX(F2:F251:R251,MATCH(V37,R2:R251,0),1)</f>
        <v>Bookshelf</v>
      </c>
    </row>
    <row r="38" spans="1:23" ht="15.75" customHeight="1" x14ac:dyDescent="0.3">
      <c r="A38" s="4" t="s">
        <v>139</v>
      </c>
      <c r="B38" s="5">
        <v>45438</v>
      </c>
      <c r="C38" s="4" t="s">
        <v>140</v>
      </c>
      <c r="D38" s="4" t="s">
        <v>141</v>
      </c>
      <c r="E38" s="4" t="s">
        <v>128</v>
      </c>
      <c r="F38" s="4" t="s">
        <v>129</v>
      </c>
      <c r="G38" s="4" t="s">
        <v>48</v>
      </c>
      <c r="H38" s="4">
        <v>3</v>
      </c>
      <c r="I38" s="4">
        <v>199.99</v>
      </c>
      <c r="J38" s="4" t="s">
        <v>28</v>
      </c>
      <c r="K38" s="4" t="s">
        <v>42</v>
      </c>
      <c r="L38" s="4" t="s">
        <v>29</v>
      </c>
      <c r="M38" s="5">
        <v>45292</v>
      </c>
      <c r="N38" s="4">
        <v>599.97</v>
      </c>
      <c r="O38" s="35">
        <v>0</v>
      </c>
      <c r="P38" s="51">
        <f t="shared" ca="1" si="0"/>
        <v>46105.940228703701</v>
      </c>
      <c r="Q38" s="52">
        <f t="shared" si="1"/>
        <v>2649.83</v>
      </c>
      <c r="R38" s="35">
        <f t="shared" si="2"/>
        <v>15</v>
      </c>
      <c r="S38" s="52" t="str">
        <f t="shared" si="3"/>
        <v>ST</v>
      </c>
      <c r="V38">
        <v>34</v>
      </c>
      <c r="W38" t="str">
        <f>INDEX(F3:F252:R252,MATCH(V38,R3:R252,0),1)</f>
        <v>Keyboard</v>
      </c>
    </row>
    <row r="39" spans="1:23" ht="15.75" customHeight="1" x14ac:dyDescent="0.3">
      <c r="A39" s="4" t="s">
        <v>142</v>
      </c>
      <c r="B39" s="5">
        <v>45440</v>
      </c>
      <c r="C39" s="4" t="s">
        <v>143</v>
      </c>
      <c r="D39" s="4" t="s">
        <v>144</v>
      </c>
      <c r="E39" s="4" t="s">
        <v>82</v>
      </c>
      <c r="F39" s="4" t="s">
        <v>83</v>
      </c>
      <c r="G39" s="4" t="s">
        <v>21</v>
      </c>
      <c r="H39" s="4">
        <v>5</v>
      </c>
      <c r="I39" s="4">
        <v>699.99</v>
      </c>
      <c r="J39" s="4" t="s">
        <v>36</v>
      </c>
      <c r="K39" s="4" t="s">
        <v>52</v>
      </c>
      <c r="L39" s="4" t="s">
        <v>38</v>
      </c>
      <c r="M39" s="5">
        <v>44407</v>
      </c>
      <c r="N39" s="4">
        <v>3499.95</v>
      </c>
      <c r="O39" s="35">
        <v>2</v>
      </c>
      <c r="P39" s="51">
        <f t="shared" ca="1" si="0"/>
        <v>46105.940228703701</v>
      </c>
      <c r="Q39" s="52">
        <f t="shared" si="1"/>
        <v>4739.8500000000004</v>
      </c>
      <c r="R39" s="35">
        <f t="shared" si="2"/>
        <v>31</v>
      </c>
      <c r="S39" s="52" t="str">
        <f t="shared" si="3"/>
        <v>JT</v>
      </c>
      <c r="V39">
        <v>31</v>
      </c>
      <c r="W39" t="str">
        <f>INDEX(F4:F253:R253,MATCH(V39,R4:R253,0),1)</f>
        <v>Smartphone</v>
      </c>
    </row>
    <row r="40" spans="1:23" ht="15.75" customHeight="1" x14ac:dyDescent="0.3">
      <c r="A40" s="4" t="s">
        <v>145</v>
      </c>
      <c r="B40" s="5">
        <v>45441</v>
      </c>
      <c r="C40" s="4" t="s">
        <v>146</v>
      </c>
      <c r="D40" s="4" t="s">
        <v>147</v>
      </c>
      <c r="E40" s="4" t="s">
        <v>119</v>
      </c>
      <c r="F40" s="4" t="s">
        <v>120</v>
      </c>
      <c r="G40" s="4" t="s">
        <v>21</v>
      </c>
      <c r="H40" s="4">
        <v>3</v>
      </c>
      <c r="I40" s="4">
        <v>89.99</v>
      </c>
      <c r="J40" s="4" t="s">
        <v>36</v>
      </c>
      <c r="K40" s="4" t="s">
        <v>23</v>
      </c>
      <c r="L40" s="4" t="s">
        <v>29</v>
      </c>
      <c r="M40" s="5">
        <v>45120</v>
      </c>
      <c r="N40" s="4">
        <v>269.97000000000003</v>
      </c>
      <c r="O40" s="35">
        <v>0</v>
      </c>
      <c r="P40" s="51">
        <f t="shared" ca="1" si="0"/>
        <v>46105.940228703701</v>
      </c>
      <c r="Q40" s="52">
        <f t="shared" si="1"/>
        <v>5519.8899999999994</v>
      </c>
      <c r="R40" s="35">
        <f t="shared" si="2"/>
        <v>34</v>
      </c>
      <c r="S40" s="52" t="str">
        <f t="shared" si="3"/>
        <v>HM</v>
      </c>
      <c r="V40">
        <v>29</v>
      </c>
      <c r="W40" t="str">
        <f>INDEX(F5:F254:R254,MATCH(V40,R5:R254,0),1)</f>
        <v>Blender</v>
      </c>
    </row>
    <row r="41" spans="1:23" ht="15.75" customHeight="1" x14ac:dyDescent="0.3">
      <c r="A41" s="4" t="s">
        <v>148</v>
      </c>
      <c r="B41" s="5">
        <v>45443</v>
      </c>
      <c r="C41" s="4" t="s">
        <v>149</v>
      </c>
      <c r="D41" s="4" t="s">
        <v>150</v>
      </c>
      <c r="E41" s="4" t="s">
        <v>116</v>
      </c>
      <c r="F41" s="4" t="s">
        <v>117</v>
      </c>
      <c r="G41" s="4" t="s">
        <v>35</v>
      </c>
      <c r="H41" s="4">
        <v>1</v>
      </c>
      <c r="I41" s="4">
        <v>79.989999999999995</v>
      </c>
      <c r="J41" s="4" t="s">
        <v>22</v>
      </c>
      <c r="K41" s="4" t="s">
        <v>42</v>
      </c>
      <c r="L41" s="4" t="s">
        <v>38</v>
      </c>
      <c r="M41" s="5">
        <v>44917</v>
      </c>
      <c r="N41" s="4">
        <v>79.989999999999995</v>
      </c>
      <c r="O41" s="35">
        <v>1</v>
      </c>
      <c r="P41" s="51">
        <f t="shared" ca="1" si="0"/>
        <v>46105.940228703701</v>
      </c>
      <c r="Q41" s="52">
        <f t="shared" si="1"/>
        <v>7309.7999999999993</v>
      </c>
      <c r="R41" s="35">
        <f t="shared" si="2"/>
        <v>14</v>
      </c>
      <c r="S41" s="52" t="str">
        <f t="shared" si="3"/>
        <v>DK</v>
      </c>
      <c r="V41">
        <v>26</v>
      </c>
      <c r="W41" t="str">
        <f>INDEX(F6:F255:R255,MATCH(V41,R6:R255,0),1)</f>
        <v>Monitor</v>
      </c>
    </row>
    <row r="42" spans="1:23" ht="15.75" customHeight="1" x14ac:dyDescent="0.3">
      <c r="A42" s="4" t="s">
        <v>151</v>
      </c>
      <c r="B42" s="5">
        <v>45444</v>
      </c>
      <c r="C42" s="4" t="s">
        <v>152</v>
      </c>
      <c r="D42" s="4" t="s">
        <v>153</v>
      </c>
      <c r="E42" s="4" t="s">
        <v>33</v>
      </c>
      <c r="F42" s="4" t="s">
        <v>34</v>
      </c>
      <c r="G42" s="4" t="s">
        <v>35</v>
      </c>
      <c r="H42" s="4">
        <v>2</v>
      </c>
      <c r="I42" s="4">
        <v>59.99</v>
      </c>
      <c r="J42" s="4" t="s">
        <v>22</v>
      </c>
      <c r="K42" s="4" t="s">
        <v>52</v>
      </c>
      <c r="L42" s="4" t="s">
        <v>24</v>
      </c>
      <c r="M42" s="5">
        <v>45390</v>
      </c>
      <c r="N42" s="4">
        <v>119.98</v>
      </c>
      <c r="O42" s="35">
        <v>0</v>
      </c>
      <c r="P42" s="51">
        <f t="shared" ca="1" si="0"/>
        <v>46105.940228703701</v>
      </c>
      <c r="Q42" s="52">
        <f t="shared" si="1"/>
        <v>5619.869999999999</v>
      </c>
      <c r="R42" s="35">
        <f t="shared" si="2"/>
        <v>29</v>
      </c>
      <c r="S42" s="52" t="str">
        <f t="shared" si="3"/>
        <v>SB</v>
      </c>
      <c r="V42">
        <v>24</v>
      </c>
      <c r="W42" t="str">
        <f>INDEX(F7:F256:R256,MATCH(V42,R7:R256,0),1)</f>
        <v>Laptop</v>
      </c>
    </row>
    <row r="43" spans="1:23" ht="15.75" customHeight="1" x14ac:dyDescent="0.3">
      <c r="A43" s="4" t="s">
        <v>154</v>
      </c>
      <c r="B43" s="5">
        <v>45444</v>
      </c>
      <c r="C43" s="4" t="s">
        <v>57</v>
      </c>
      <c r="D43" s="4" t="s">
        <v>58</v>
      </c>
      <c r="E43" s="4" t="s">
        <v>119</v>
      </c>
      <c r="F43" s="4" t="s">
        <v>120</v>
      </c>
      <c r="G43" s="4" t="s">
        <v>21</v>
      </c>
      <c r="H43" s="4">
        <v>1</v>
      </c>
      <c r="I43" s="4">
        <v>89.99</v>
      </c>
      <c r="J43" s="4" t="s">
        <v>22</v>
      </c>
      <c r="K43" s="4" t="s">
        <v>42</v>
      </c>
      <c r="L43" s="4" t="s">
        <v>24</v>
      </c>
      <c r="M43" s="5">
        <v>45141</v>
      </c>
      <c r="N43" s="4">
        <v>89.99</v>
      </c>
      <c r="O43" s="35">
        <v>0</v>
      </c>
      <c r="P43" s="51">
        <f t="shared" ca="1" si="0"/>
        <v>46105.940228703701</v>
      </c>
      <c r="Q43" s="52">
        <f t="shared" si="1"/>
        <v>5089.7300000000005</v>
      </c>
      <c r="R43" s="35">
        <f t="shared" si="2"/>
        <v>34</v>
      </c>
      <c r="S43" s="52" t="str">
        <f t="shared" si="3"/>
        <v>CA</v>
      </c>
      <c r="V43">
        <v>16</v>
      </c>
      <c r="W43" t="str">
        <f>INDEX(F8:F257:R257,MATCH(V43,R8:R257,0),1)</f>
        <v>Headphones</v>
      </c>
    </row>
    <row r="44" spans="1:23" ht="15.75" customHeight="1" x14ac:dyDescent="0.3">
      <c r="A44" s="4" t="s">
        <v>155</v>
      </c>
      <c r="B44" s="5">
        <v>45446</v>
      </c>
      <c r="C44" s="4" t="s">
        <v>156</v>
      </c>
      <c r="D44" s="4" t="s">
        <v>157</v>
      </c>
      <c r="E44" s="4" t="s">
        <v>119</v>
      </c>
      <c r="F44" s="4" t="s">
        <v>120</v>
      </c>
      <c r="G44" s="4" t="s">
        <v>21</v>
      </c>
      <c r="H44" s="4">
        <v>5</v>
      </c>
      <c r="I44" s="4">
        <v>89.99</v>
      </c>
      <c r="J44" s="4" t="s">
        <v>28</v>
      </c>
      <c r="K44" s="4" t="s">
        <v>65</v>
      </c>
      <c r="L44" s="4" t="s">
        <v>38</v>
      </c>
      <c r="M44" s="5">
        <v>44587</v>
      </c>
      <c r="N44" s="4">
        <v>449.95</v>
      </c>
      <c r="O44" s="35">
        <v>2</v>
      </c>
      <c r="P44" s="51">
        <f t="shared" ca="1" si="0"/>
        <v>46105.940228703701</v>
      </c>
      <c r="Q44" s="52">
        <f t="shared" si="1"/>
        <v>5499.8099999999995</v>
      </c>
      <c r="R44" s="35">
        <f t="shared" si="2"/>
        <v>34</v>
      </c>
      <c r="S44" s="52" t="str">
        <f t="shared" si="3"/>
        <v>SD</v>
      </c>
      <c r="V44">
        <v>15</v>
      </c>
      <c r="W44" t="str">
        <f>INDEX(F9:F258:R258,MATCH(V44,R9:R258,0),1)</f>
        <v>Office Chair</v>
      </c>
    </row>
    <row r="45" spans="1:23" ht="15.75" customHeight="1" x14ac:dyDescent="0.3">
      <c r="A45" s="4" t="s">
        <v>158</v>
      </c>
      <c r="B45" s="5">
        <v>45449</v>
      </c>
      <c r="C45" s="4" t="s">
        <v>26</v>
      </c>
      <c r="D45" s="4" t="s">
        <v>27</v>
      </c>
      <c r="E45" s="4" t="s">
        <v>19</v>
      </c>
      <c r="F45" s="4" t="s">
        <v>20</v>
      </c>
      <c r="G45" s="4" t="s">
        <v>21</v>
      </c>
      <c r="H45" s="4">
        <v>5</v>
      </c>
      <c r="I45" s="4">
        <v>249.99</v>
      </c>
      <c r="J45" s="4" t="s">
        <v>28</v>
      </c>
      <c r="K45" s="4" t="s">
        <v>65</v>
      </c>
      <c r="L45" s="4" t="s">
        <v>38</v>
      </c>
      <c r="M45" s="5">
        <v>44707</v>
      </c>
      <c r="N45" s="4">
        <v>1249.95</v>
      </c>
      <c r="O45" s="35">
        <v>2</v>
      </c>
      <c r="P45" s="51">
        <f t="shared" ca="1" si="0"/>
        <v>46105.940228703701</v>
      </c>
      <c r="Q45" s="52">
        <f t="shared" si="1"/>
        <v>6949.84</v>
      </c>
      <c r="R45" s="35">
        <f t="shared" si="2"/>
        <v>26</v>
      </c>
      <c r="S45" s="52" t="str">
        <f t="shared" si="3"/>
        <v>JJ</v>
      </c>
      <c r="V45">
        <v>14</v>
      </c>
      <c r="W45" t="str">
        <f>INDEX(F10:F259:R259,MATCH(V45,R10:R259,0),1)</f>
        <v>Coffee Maker</v>
      </c>
    </row>
    <row r="46" spans="1:23" ht="15.75" customHeight="1" x14ac:dyDescent="0.3">
      <c r="A46" s="4" t="s">
        <v>159</v>
      </c>
      <c r="B46" s="5">
        <v>45449</v>
      </c>
      <c r="C46" s="4" t="s">
        <v>160</v>
      </c>
      <c r="D46" s="4" t="s">
        <v>161</v>
      </c>
      <c r="E46" s="4" t="s">
        <v>119</v>
      </c>
      <c r="F46" s="4" t="s">
        <v>120</v>
      </c>
      <c r="G46" s="4" t="s">
        <v>21</v>
      </c>
      <c r="H46" s="4">
        <v>1</v>
      </c>
      <c r="I46" s="4">
        <v>89.99</v>
      </c>
      <c r="J46" s="4" t="s">
        <v>28</v>
      </c>
      <c r="K46" s="4" t="s">
        <v>37</v>
      </c>
      <c r="L46" s="4" t="s">
        <v>38</v>
      </c>
      <c r="M46" s="5">
        <v>44582</v>
      </c>
      <c r="N46" s="4">
        <v>89.99</v>
      </c>
      <c r="O46" s="35">
        <v>2</v>
      </c>
      <c r="P46" s="51">
        <f t="shared" ca="1" si="0"/>
        <v>46105.940228703701</v>
      </c>
      <c r="Q46" s="52">
        <f t="shared" si="1"/>
        <v>5649.84</v>
      </c>
      <c r="R46" s="35">
        <f t="shared" si="2"/>
        <v>34</v>
      </c>
      <c r="S46" s="52" t="str">
        <f t="shared" si="3"/>
        <v>BC</v>
      </c>
    </row>
    <row r="47" spans="1:23" ht="15.75" customHeight="1" x14ac:dyDescent="0.3">
      <c r="A47" s="4" t="s">
        <v>162</v>
      </c>
      <c r="B47" s="5">
        <v>45450</v>
      </c>
      <c r="C47" s="4" t="s">
        <v>44</v>
      </c>
      <c r="D47" s="4" t="s">
        <v>45</v>
      </c>
      <c r="E47" s="4" t="s">
        <v>46</v>
      </c>
      <c r="F47" s="4" t="s">
        <v>47</v>
      </c>
      <c r="G47" s="4" t="s">
        <v>48</v>
      </c>
      <c r="H47" s="4">
        <v>2</v>
      </c>
      <c r="I47" s="4">
        <v>149.99</v>
      </c>
      <c r="J47" s="4" t="s">
        <v>22</v>
      </c>
      <c r="K47" s="4" t="s">
        <v>65</v>
      </c>
      <c r="L47" s="4" t="s">
        <v>29</v>
      </c>
      <c r="M47" s="5">
        <v>44645</v>
      </c>
      <c r="N47" s="4">
        <v>299.98</v>
      </c>
      <c r="O47" s="35">
        <v>2</v>
      </c>
      <c r="P47" s="51">
        <f t="shared" ca="1" si="0"/>
        <v>46105.940228703701</v>
      </c>
      <c r="Q47" s="52">
        <f t="shared" si="1"/>
        <v>6169.7400000000007</v>
      </c>
      <c r="R47" s="35">
        <f t="shared" si="2"/>
        <v>35</v>
      </c>
      <c r="S47" s="52" t="str">
        <f t="shared" si="3"/>
        <v>MB</v>
      </c>
    </row>
    <row r="48" spans="1:23" ht="15.75" customHeight="1" x14ac:dyDescent="0.3">
      <c r="A48" s="4" t="s">
        <v>163</v>
      </c>
      <c r="B48" s="5">
        <v>45452</v>
      </c>
      <c r="C48" s="4" t="s">
        <v>164</v>
      </c>
      <c r="D48" s="4" t="s">
        <v>165</v>
      </c>
      <c r="E48" s="4" t="s">
        <v>33</v>
      </c>
      <c r="F48" s="4" t="s">
        <v>34</v>
      </c>
      <c r="G48" s="4" t="s">
        <v>35</v>
      </c>
      <c r="H48" s="4">
        <v>4</v>
      </c>
      <c r="I48" s="4">
        <v>59.99</v>
      </c>
      <c r="J48" s="4" t="s">
        <v>22</v>
      </c>
      <c r="K48" s="4" t="s">
        <v>65</v>
      </c>
      <c r="L48" s="4" t="s">
        <v>38</v>
      </c>
      <c r="M48" s="5">
        <v>44435</v>
      </c>
      <c r="N48" s="4">
        <v>239.96</v>
      </c>
      <c r="O48" s="35">
        <v>2</v>
      </c>
      <c r="P48" s="51">
        <f t="shared" ca="1" si="0"/>
        <v>46105.940228703701</v>
      </c>
      <c r="Q48" s="52">
        <f t="shared" si="1"/>
        <v>239.96</v>
      </c>
      <c r="R48" s="35">
        <f t="shared" si="2"/>
        <v>29</v>
      </c>
      <c r="S48" s="52" t="str">
        <f t="shared" si="3"/>
        <v>JF</v>
      </c>
      <c r="V48" s="3" t="s">
        <v>499</v>
      </c>
    </row>
    <row r="49" spans="1:24" ht="15.75" customHeight="1" x14ac:dyDescent="0.3">
      <c r="A49" s="4" t="s">
        <v>166</v>
      </c>
      <c r="B49" s="5">
        <v>45456</v>
      </c>
      <c r="C49" s="4" t="s">
        <v>131</v>
      </c>
      <c r="D49" s="4" t="s">
        <v>132</v>
      </c>
      <c r="E49" s="4" t="s">
        <v>119</v>
      </c>
      <c r="F49" s="4" t="s">
        <v>120</v>
      </c>
      <c r="G49" s="4" t="s">
        <v>21</v>
      </c>
      <c r="H49" s="4">
        <v>5</v>
      </c>
      <c r="I49" s="4">
        <v>89.99</v>
      </c>
      <c r="J49" s="4" t="s">
        <v>22</v>
      </c>
      <c r="K49" s="4" t="s">
        <v>23</v>
      </c>
      <c r="L49" s="4" t="s">
        <v>29</v>
      </c>
      <c r="M49" s="5">
        <v>44579</v>
      </c>
      <c r="N49" s="4">
        <v>449.95</v>
      </c>
      <c r="O49" s="35">
        <v>2</v>
      </c>
      <c r="P49" s="51">
        <f t="shared" ca="1" si="0"/>
        <v>46105.940228703701</v>
      </c>
      <c r="Q49" s="52">
        <f t="shared" si="1"/>
        <v>2039.8000000000002</v>
      </c>
      <c r="R49" s="35">
        <f t="shared" si="2"/>
        <v>34</v>
      </c>
      <c r="S49" s="52" t="str">
        <f t="shared" si="3"/>
        <v>LA</v>
      </c>
      <c r="V49" t="s">
        <v>472</v>
      </c>
      <c r="W49" t="s">
        <v>473</v>
      </c>
      <c r="X49" t="str">
        <f>IF(ISNUMBER(MATCH(V49,$W$49:$W$58,0)),"Match","Not Match")</f>
        <v>Not Match</v>
      </c>
    </row>
    <row r="50" spans="1:24" ht="15.75" customHeight="1" x14ac:dyDescent="0.3">
      <c r="A50" s="4" t="s">
        <v>167</v>
      </c>
      <c r="B50" s="5">
        <v>45459</v>
      </c>
      <c r="C50" s="4" t="s">
        <v>101</v>
      </c>
      <c r="D50" s="4" t="s">
        <v>102</v>
      </c>
      <c r="E50" s="4" t="s">
        <v>119</v>
      </c>
      <c r="F50" s="4" t="s">
        <v>120</v>
      </c>
      <c r="G50" s="4" t="s">
        <v>21</v>
      </c>
      <c r="H50" s="4">
        <v>2</v>
      </c>
      <c r="I50" s="4">
        <v>89.99</v>
      </c>
      <c r="J50" s="4" t="s">
        <v>28</v>
      </c>
      <c r="K50" s="4" t="s">
        <v>37</v>
      </c>
      <c r="L50" s="4" t="s">
        <v>29</v>
      </c>
      <c r="M50" s="5">
        <v>44471</v>
      </c>
      <c r="N50" s="4">
        <v>179.98</v>
      </c>
      <c r="O50" s="35">
        <v>2</v>
      </c>
      <c r="P50" s="51">
        <f t="shared" ca="1" si="0"/>
        <v>46105.940228703701</v>
      </c>
      <c r="Q50" s="52">
        <f t="shared" si="1"/>
        <v>9799.73</v>
      </c>
      <c r="R50" s="35">
        <f t="shared" si="2"/>
        <v>34</v>
      </c>
      <c r="S50" s="52" t="str">
        <f t="shared" si="3"/>
        <v>PM</v>
      </c>
      <c r="V50" t="s">
        <v>473</v>
      </c>
      <c r="W50" t="s">
        <v>474</v>
      </c>
      <c r="X50" t="str">
        <f>IF(ISNUMBER(MATCH(V50,$W$49:$W$58,0)),"Match","Not Match")</f>
        <v>Match</v>
      </c>
    </row>
    <row r="51" spans="1:24" ht="15.75" customHeight="1" x14ac:dyDescent="0.3">
      <c r="A51" s="4" t="s">
        <v>168</v>
      </c>
      <c r="B51" s="5">
        <v>45459</v>
      </c>
      <c r="C51" s="4" t="s">
        <v>17</v>
      </c>
      <c r="D51" s="4" t="s">
        <v>18</v>
      </c>
      <c r="E51" s="4" t="s">
        <v>63</v>
      </c>
      <c r="F51" s="4" t="s">
        <v>64</v>
      </c>
      <c r="G51" s="4" t="s">
        <v>21</v>
      </c>
      <c r="H51" s="4">
        <v>5</v>
      </c>
      <c r="I51" s="4">
        <v>899.99</v>
      </c>
      <c r="J51" s="4" t="s">
        <v>28</v>
      </c>
      <c r="K51" s="4" t="s">
        <v>37</v>
      </c>
      <c r="L51" s="4" t="s">
        <v>38</v>
      </c>
      <c r="M51" s="5">
        <v>44974</v>
      </c>
      <c r="N51" s="4">
        <v>4499.95</v>
      </c>
      <c r="O51" s="35">
        <v>1</v>
      </c>
      <c r="P51" s="51">
        <f t="shared" ca="1" si="0"/>
        <v>46105.940228703701</v>
      </c>
      <c r="Q51" s="52">
        <f t="shared" si="1"/>
        <v>8309.739999999998</v>
      </c>
      <c r="R51" s="35">
        <f t="shared" si="2"/>
        <v>24</v>
      </c>
      <c r="S51" s="52" t="str">
        <f t="shared" si="3"/>
        <v>PB</v>
      </c>
      <c r="V51" t="s">
        <v>474</v>
      </c>
      <c r="W51" t="s">
        <v>478</v>
      </c>
      <c r="X51" t="str">
        <f>IF(ISNUMBER(MATCH(V51,$W$49:$W$58,0)),"Match","Not Match")</f>
        <v>Match</v>
      </c>
    </row>
    <row r="52" spans="1:24" ht="15.75" customHeight="1" x14ac:dyDescent="0.3">
      <c r="A52" s="4" t="s">
        <v>169</v>
      </c>
      <c r="B52" s="5">
        <v>45459</v>
      </c>
      <c r="C52" s="4" t="s">
        <v>125</v>
      </c>
      <c r="D52" s="4" t="s">
        <v>126</v>
      </c>
      <c r="E52" s="4" t="s">
        <v>63</v>
      </c>
      <c r="F52" s="4" t="s">
        <v>64</v>
      </c>
      <c r="G52" s="4" t="s">
        <v>21</v>
      </c>
      <c r="H52" s="4">
        <v>5</v>
      </c>
      <c r="I52" s="4">
        <v>899.99</v>
      </c>
      <c r="J52" s="4" t="s">
        <v>36</v>
      </c>
      <c r="K52" s="4" t="s">
        <v>65</v>
      </c>
      <c r="L52" s="4" t="s">
        <v>29</v>
      </c>
      <c r="M52" s="5">
        <v>45278</v>
      </c>
      <c r="N52" s="4">
        <v>4499.95</v>
      </c>
      <c r="O52" s="35">
        <v>0</v>
      </c>
      <c r="P52" s="51">
        <f t="shared" ca="1" si="0"/>
        <v>46105.940228703701</v>
      </c>
      <c r="Q52" s="52">
        <f t="shared" si="1"/>
        <v>11919.769999999999</v>
      </c>
      <c r="R52" s="35">
        <f t="shared" si="2"/>
        <v>24</v>
      </c>
      <c r="S52" s="52" t="str">
        <f t="shared" si="3"/>
        <v>EM</v>
      </c>
      <c r="V52" t="s">
        <v>475</v>
      </c>
      <c r="W52" t="s">
        <v>482</v>
      </c>
      <c r="X52" t="str">
        <f>IF(ISNUMBER(MATCH(V52,$W$49:$W$58,0)),"Match","Not Match")</f>
        <v>Not Match</v>
      </c>
    </row>
    <row r="53" spans="1:24" ht="15.75" customHeight="1" x14ac:dyDescent="0.3">
      <c r="A53" s="4" t="s">
        <v>170</v>
      </c>
      <c r="B53" s="5">
        <v>45460</v>
      </c>
      <c r="C53" s="4" t="s">
        <v>160</v>
      </c>
      <c r="D53" s="4" t="s">
        <v>161</v>
      </c>
      <c r="E53" s="4" t="s">
        <v>33</v>
      </c>
      <c r="F53" s="4" t="s">
        <v>34</v>
      </c>
      <c r="G53" s="4" t="s">
        <v>35</v>
      </c>
      <c r="H53" s="4">
        <v>1</v>
      </c>
      <c r="I53" s="4">
        <v>59.99</v>
      </c>
      <c r="J53" s="4" t="s">
        <v>59</v>
      </c>
      <c r="K53" s="4" t="s">
        <v>52</v>
      </c>
      <c r="L53" s="4" t="s">
        <v>29</v>
      </c>
      <c r="M53" s="5">
        <v>45190</v>
      </c>
      <c r="N53" s="4">
        <v>59.99</v>
      </c>
      <c r="O53" s="35">
        <v>0</v>
      </c>
      <c r="P53" s="51">
        <f t="shared" ca="1" si="0"/>
        <v>46105.940228703701</v>
      </c>
      <c r="Q53" s="52">
        <f t="shared" si="1"/>
        <v>5649.84</v>
      </c>
      <c r="R53" s="35">
        <f t="shared" si="2"/>
        <v>29</v>
      </c>
      <c r="S53" s="52" t="str">
        <f t="shared" si="3"/>
        <v>BC</v>
      </c>
      <c r="V53" t="s">
        <v>476</v>
      </c>
      <c r="W53" t="s">
        <v>476</v>
      </c>
      <c r="X53" t="str">
        <f>IF(ISNUMBER(MATCH(V53,$W$49:$W$58,0)),"Match","Not Match")</f>
        <v>Match</v>
      </c>
    </row>
    <row r="54" spans="1:24" ht="15.75" customHeight="1" x14ac:dyDescent="0.3">
      <c r="A54" s="4" t="s">
        <v>171</v>
      </c>
      <c r="B54" s="5">
        <v>45460</v>
      </c>
      <c r="C54" s="4" t="s">
        <v>143</v>
      </c>
      <c r="D54" s="4" t="s">
        <v>144</v>
      </c>
      <c r="E54" s="4" t="s">
        <v>107</v>
      </c>
      <c r="F54" s="4" t="s">
        <v>108</v>
      </c>
      <c r="G54" s="4" t="s">
        <v>48</v>
      </c>
      <c r="H54" s="4">
        <v>2</v>
      </c>
      <c r="I54" s="4">
        <v>299.99</v>
      </c>
      <c r="J54" s="4" t="s">
        <v>59</v>
      </c>
      <c r="K54" s="4" t="s">
        <v>65</v>
      </c>
      <c r="L54" s="4" t="s">
        <v>38</v>
      </c>
      <c r="M54" s="5">
        <v>45253</v>
      </c>
      <c r="N54" s="4">
        <v>599.98</v>
      </c>
      <c r="O54" s="35">
        <v>0</v>
      </c>
      <c r="P54" s="51">
        <f t="shared" ca="1" si="0"/>
        <v>46105.940228703701</v>
      </c>
      <c r="Q54" s="52">
        <f t="shared" si="1"/>
        <v>4739.8500000000004</v>
      </c>
      <c r="R54" s="35">
        <f t="shared" si="2"/>
        <v>26</v>
      </c>
      <c r="S54" s="52" t="str">
        <f t="shared" si="3"/>
        <v>JT</v>
      </c>
      <c r="V54" t="s">
        <v>477</v>
      </c>
      <c r="W54" t="s">
        <v>483</v>
      </c>
      <c r="X54" t="str">
        <f>IF(ISNUMBER(MATCH(V54,$W$49:$W$58,0)),"Match","Not Match")</f>
        <v>Not Match</v>
      </c>
    </row>
    <row r="55" spans="1:24" ht="15.75" customHeight="1" x14ac:dyDescent="0.3">
      <c r="A55" s="4" t="s">
        <v>172</v>
      </c>
      <c r="B55" s="5">
        <v>45468</v>
      </c>
      <c r="C55" s="4" t="s">
        <v>173</v>
      </c>
      <c r="D55" s="4" t="s">
        <v>174</v>
      </c>
      <c r="E55" s="4" t="s">
        <v>119</v>
      </c>
      <c r="F55" s="4" t="s">
        <v>120</v>
      </c>
      <c r="G55" s="4" t="s">
        <v>21</v>
      </c>
      <c r="H55" s="4">
        <v>4</v>
      </c>
      <c r="I55" s="4">
        <v>89.99</v>
      </c>
      <c r="J55" s="4" t="s">
        <v>59</v>
      </c>
      <c r="K55" s="4" t="s">
        <v>37</v>
      </c>
      <c r="L55" s="4" t="s">
        <v>24</v>
      </c>
      <c r="M55" s="5">
        <v>45281</v>
      </c>
      <c r="N55" s="4">
        <v>359.96</v>
      </c>
      <c r="O55" s="35">
        <v>0</v>
      </c>
      <c r="P55" s="51">
        <f t="shared" ca="1" si="0"/>
        <v>46105.940228703701</v>
      </c>
      <c r="Q55" s="52">
        <f t="shared" si="1"/>
        <v>3669.8500000000004</v>
      </c>
      <c r="R55" s="35">
        <f t="shared" si="2"/>
        <v>34</v>
      </c>
      <c r="S55" s="52" t="str">
        <f t="shared" si="3"/>
        <v>RR</v>
      </c>
      <c r="V55" t="s">
        <v>478</v>
      </c>
      <c r="W55" t="s">
        <v>481</v>
      </c>
      <c r="X55" t="str">
        <f>IF(ISNUMBER(MATCH(V55,$W$49:$W$58,0)),"Match","Not Match")</f>
        <v>Match</v>
      </c>
    </row>
    <row r="56" spans="1:24" ht="15.75" customHeight="1" x14ac:dyDescent="0.3">
      <c r="A56" s="4" t="s">
        <v>175</v>
      </c>
      <c r="B56" s="5">
        <v>45469</v>
      </c>
      <c r="C56" s="4" t="s">
        <v>31</v>
      </c>
      <c r="D56" s="4" t="s">
        <v>32</v>
      </c>
      <c r="E56" s="4" t="s">
        <v>116</v>
      </c>
      <c r="F56" s="4" t="s">
        <v>117</v>
      </c>
      <c r="G56" s="4" t="s">
        <v>35</v>
      </c>
      <c r="H56" s="4">
        <v>1</v>
      </c>
      <c r="I56" s="4">
        <v>79.989999999999995</v>
      </c>
      <c r="J56" s="4" t="s">
        <v>36</v>
      </c>
      <c r="K56" s="4" t="s">
        <v>23</v>
      </c>
      <c r="L56" s="4" t="s">
        <v>29</v>
      </c>
      <c r="M56" s="5">
        <v>45352</v>
      </c>
      <c r="N56" s="4">
        <v>79.989999999999995</v>
      </c>
      <c r="O56" s="35">
        <v>0</v>
      </c>
      <c r="P56" s="51">
        <f t="shared" ca="1" si="0"/>
        <v>46105.940228703701</v>
      </c>
      <c r="Q56" s="52">
        <f t="shared" si="1"/>
        <v>3259.87</v>
      </c>
      <c r="R56" s="35">
        <f t="shared" si="2"/>
        <v>14</v>
      </c>
      <c r="S56" s="52" t="str">
        <f t="shared" si="3"/>
        <v>KS</v>
      </c>
      <c r="V56" t="s">
        <v>479</v>
      </c>
      <c r="W56" t="s">
        <v>484</v>
      </c>
      <c r="X56" t="str">
        <f>IF(ISNUMBER(MATCH(V56,$W$49:$W$58,0)),"Match","Not Match")</f>
        <v>Not Match</v>
      </c>
    </row>
    <row r="57" spans="1:24" ht="15.75" customHeight="1" x14ac:dyDescent="0.3">
      <c r="A57" s="4" t="s">
        <v>176</v>
      </c>
      <c r="B57" s="5">
        <v>45469</v>
      </c>
      <c r="C57" s="4" t="s">
        <v>61</v>
      </c>
      <c r="D57" s="4" t="s">
        <v>62</v>
      </c>
      <c r="E57" s="4" t="s">
        <v>119</v>
      </c>
      <c r="F57" s="4" t="s">
        <v>120</v>
      </c>
      <c r="G57" s="4" t="s">
        <v>21</v>
      </c>
      <c r="H57" s="4">
        <v>2</v>
      </c>
      <c r="I57" s="4">
        <v>89.99</v>
      </c>
      <c r="J57" s="4" t="s">
        <v>22</v>
      </c>
      <c r="K57" s="4" t="s">
        <v>52</v>
      </c>
      <c r="L57" s="4" t="s">
        <v>24</v>
      </c>
      <c r="M57" s="5">
        <v>44438</v>
      </c>
      <c r="N57" s="4">
        <v>179.98</v>
      </c>
      <c r="O57" s="35">
        <v>2</v>
      </c>
      <c r="P57" s="51">
        <f t="shared" ca="1" si="0"/>
        <v>46105.940228703701</v>
      </c>
      <c r="Q57" s="52">
        <f t="shared" si="1"/>
        <v>3509.8999999999996</v>
      </c>
      <c r="R57" s="35">
        <f t="shared" si="2"/>
        <v>34</v>
      </c>
      <c r="S57" s="52" t="str">
        <f t="shared" si="3"/>
        <v>RT</v>
      </c>
      <c r="V57" t="s">
        <v>480</v>
      </c>
      <c r="W57" t="s">
        <v>480</v>
      </c>
      <c r="X57" t="str">
        <f>IF(ISNUMBER(MATCH(V57,$W$49:$W$58,0)),"Match","Not Match")</f>
        <v>Match</v>
      </c>
    </row>
    <row r="58" spans="1:24" ht="15.75" customHeight="1" x14ac:dyDescent="0.3">
      <c r="A58" s="4" t="s">
        <v>177</v>
      </c>
      <c r="B58" s="5">
        <v>45471</v>
      </c>
      <c r="C58" s="4" t="s">
        <v>40</v>
      </c>
      <c r="D58" s="4" t="s">
        <v>41</v>
      </c>
      <c r="E58" s="4" t="s">
        <v>82</v>
      </c>
      <c r="F58" s="4" t="s">
        <v>83</v>
      </c>
      <c r="G58" s="4" t="s">
        <v>21</v>
      </c>
      <c r="H58" s="4">
        <v>3</v>
      </c>
      <c r="I58" s="4">
        <v>699.99</v>
      </c>
      <c r="J58" s="4" t="s">
        <v>28</v>
      </c>
      <c r="K58" s="4" t="s">
        <v>65</v>
      </c>
      <c r="L58" s="4" t="s">
        <v>29</v>
      </c>
      <c r="M58" s="5">
        <v>45102</v>
      </c>
      <c r="N58" s="4">
        <v>2099.9699999999998</v>
      </c>
      <c r="O58" s="35">
        <v>1</v>
      </c>
      <c r="P58" s="51">
        <f t="shared" ca="1" si="0"/>
        <v>46105.940228703701</v>
      </c>
      <c r="Q58" s="52">
        <f t="shared" si="1"/>
        <v>4309.8099999999995</v>
      </c>
      <c r="R58" s="35">
        <f t="shared" si="2"/>
        <v>31</v>
      </c>
      <c r="S58" s="52" t="str">
        <f t="shared" si="3"/>
        <v>KB</v>
      </c>
      <c r="V58" t="s">
        <v>481</v>
      </c>
      <c r="W58" t="s">
        <v>485</v>
      </c>
      <c r="X58" t="str">
        <f>IF(ISNUMBER(MATCH(V58,$W$49:$W$58,0)),"Match","Not Match")</f>
        <v>Match</v>
      </c>
    </row>
    <row r="59" spans="1:24" ht="15.75" customHeight="1" x14ac:dyDescent="0.3">
      <c r="A59" s="4" t="s">
        <v>178</v>
      </c>
      <c r="B59" s="5">
        <v>45471</v>
      </c>
      <c r="C59" s="4" t="s">
        <v>101</v>
      </c>
      <c r="D59" s="4" t="s">
        <v>102</v>
      </c>
      <c r="E59" s="4" t="s">
        <v>63</v>
      </c>
      <c r="F59" s="4" t="s">
        <v>64</v>
      </c>
      <c r="G59" s="4" t="s">
        <v>21</v>
      </c>
      <c r="H59" s="4">
        <v>4</v>
      </c>
      <c r="I59" s="4">
        <v>899.99</v>
      </c>
      <c r="J59" s="4" t="s">
        <v>28</v>
      </c>
      <c r="K59" s="4" t="s">
        <v>65</v>
      </c>
      <c r="L59" s="4" t="s">
        <v>29</v>
      </c>
      <c r="M59" s="5">
        <v>44993</v>
      </c>
      <c r="N59" s="4">
        <v>3599.96</v>
      </c>
      <c r="O59" s="35">
        <v>1</v>
      </c>
      <c r="P59" s="51">
        <f t="shared" ca="1" si="0"/>
        <v>46105.940228703701</v>
      </c>
      <c r="Q59" s="52">
        <f t="shared" si="1"/>
        <v>9799.73</v>
      </c>
      <c r="R59" s="35">
        <f t="shared" si="2"/>
        <v>24</v>
      </c>
      <c r="S59" s="52" t="str">
        <f t="shared" si="3"/>
        <v>PM</v>
      </c>
    </row>
    <row r="60" spans="1:24" ht="15.75" customHeight="1" x14ac:dyDescent="0.3">
      <c r="A60" s="4" t="s">
        <v>179</v>
      </c>
      <c r="B60" s="5">
        <v>45472</v>
      </c>
      <c r="C60" s="4" t="s">
        <v>122</v>
      </c>
      <c r="D60" s="4" t="s">
        <v>123</v>
      </c>
      <c r="E60" s="4" t="s">
        <v>46</v>
      </c>
      <c r="F60" s="4" t="s">
        <v>47</v>
      </c>
      <c r="G60" s="4" t="s">
        <v>48</v>
      </c>
      <c r="H60" s="4">
        <v>1</v>
      </c>
      <c r="I60" s="4">
        <v>149.99</v>
      </c>
      <c r="J60" s="4" t="s">
        <v>36</v>
      </c>
      <c r="K60" s="4" t="s">
        <v>65</v>
      </c>
      <c r="L60" s="4" t="s">
        <v>24</v>
      </c>
      <c r="M60" s="5">
        <v>44851</v>
      </c>
      <c r="N60" s="4">
        <v>149.99</v>
      </c>
      <c r="O60" s="35">
        <v>1</v>
      </c>
      <c r="P60" s="51">
        <f t="shared" ca="1" si="0"/>
        <v>46105.940228703701</v>
      </c>
      <c r="Q60" s="52">
        <f t="shared" si="1"/>
        <v>6459.79</v>
      </c>
      <c r="R60" s="35">
        <f t="shared" si="2"/>
        <v>35</v>
      </c>
      <c r="S60" s="52" t="str">
        <f t="shared" si="3"/>
        <v>HR</v>
      </c>
    </row>
    <row r="61" spans="1:24" ht="15.75" customHeight="1" x14ac:dyDescent="0.3">
      <c r="A61" s="4" t="s">
        <v>180</v>
      </c>
      <c r="B61" s="5">
        <v>45474</v>
      </c>
      <c r="C61" s="4" t="s">
        <v>134</v>
      </c>
      <c r="D61" s="4" t="s">
        <v>135</v>
      </c>
      <c r="E61" s="4" t="s">
        <v>119</v>
      </c>
      <c r="F61" s="4" t="s">
        <v>120</v>
      </c>
      <c r="G61" s="4" t="s">
        <v>21</v>
      </c>
      <c r="H61" s="4">
        <v>2</v>
      </c>
      <c r="I61" s="4">
        <v>89.99</v>
      </c>
      <c r="J61" s="4" t="s">
        <v>36</v>
      </c>
      <c r="K61" s="4" t="s">
        <v>23</v>
      </c>
      <c r="L61" s="4" t="s">
        <v>29</v>
      </c>
      <c r="M61" s="5">
        <v>45275</v>
      </c>
      <c r="N61" s="4">
        <v>179.98</v>
      </c>
      <c r="O61" s="35">
        <v>0</v>
      </c>
      <c r="P61" s="51">
        <f t="shared" ca="1" si="0"/>
        <v>46105.940228703701</v>
      </c>
      <c r="Q61" s="52">
        <f t="shared" si="1"/>
        <v>1229.8800000000001</v>
      </c>
      <c r="R61" s="35">
        <f t="shared" si="2"/>
        <v>34</v>
      </c>
      <c r="S61" s="52" t="str">
        <f t="shared" si="3"/>
        <v>EW</v>
      </c>
    </row>
    <row r="62" spans="1:24" ht="15.75" customHeight="1" x14ac:dyDescent="0.3">
      <c r="A62" s="4" t="s">
        <v>181</v>
      </c>
      <c r="B62" s="5">
        <v>45475</v>
      </c>
      <c r="C62" s="4" t="s">
        <v>57</v>
      </c>
      <c r="D62" s="4" t="s">
        <v>58</v>
      </c>
      <c r="E62" s="4" t="s">
        <v>119</v>
      </c>
      <c r="F62" s="4" t="s">
        <v>120</v>
      </c>
      <c r="G62" s="4" t="s">
        <v>21</v>
      </c>
      <c r="H62" s="4">
        <v>1</v>
      </c>
      <c r="I62" s="4">
        <v>89.99</v>
      </c>
      <c r="J62" s="4" t="s">
        <v>36</v>
      </c>
      <c r="K62" s="4" t="s">
        <v>52</v>
      </c>
      <c r="L62" s="4" t="s">
        <v>38</v>
      </c>
      <c r="M62" s="5">
        <v>44802</v>
      </c>
      <c r="N62" s="4">
        <v>89.99</v>
      </c>
      <c r="O62" s="35">
        <v>1</v>
      </c>
      <c r="P62" s="51">
        <f t="shared" ca="1" si="0"/>
        <v>46105.940228703701</v>
      </c>
      <c r="Q62" s="52">
        <f t="shared" si="1"/>
        <v>5089.7300000000005</v>
      </c>
      <c r="R62" s="35">
        <f t="shared" si="2"/>
        <v>34</v>
      </c>
      <c r="S62" s="52" t="str">
        <f t="shared" si="3"/>
        <v>CA</v>
      </c>
    </row>
    <row r="63" spans="1:24" ht="15.75" customHeight="1" x14ac:dyDescent="0.3">
      <c r="A63" s="4" t="s">
        <v>182</v>
      </c>
      <c r="B63" s="5">
        <v>45476</v>
      </c>
      <c r="C63" s="4" t="s">
        <v>70</v>
      </c>
      <c r="D63" s="4" t="s">
        <v>71</v>
      </c>
      <c r="E63" s="4" t="s">
        <v>119</v>
      </c>
      <c r="F63" s="4" t="s">
        <v>120</v>
      </c>
      <c r="G63" s="4" t="s">
        <v>21</v>
      </c>
      <c r="H63" s="4">
        <v>1</v>
      </c>
      <c r="I63" s="4">
        <v>89.99</v>
      </c>
      <c r="J63" s="4" t="s">
        <v>22</v>
      </c>
      <c r="K63" s="4" t="s">
        <v>37</v>
      </c>
      <c r="L63" s="4" t="s">
        <v>38</v>
      </c>
      <c r="M63" s="5">
        <v>44611</v>
      </c>
      <c r="N63" s="4">
        <v>89.99</v>
      </c>
      <c r="O63" s="35">
        <v>2</v>
      </c>
      <c r="P63" s="51">
        <f t="shared" ca="1" si="0"/>
        <v>46105.940228703701</v>
      </c>
      <c r="Q63" s="52">
        <f t="shared" si="1"/>
        <v>1979.89</v>
      </c>
      <c r="R63" s="35">
        <f t="shared" si="2"/>
        <v>34</v>
      </c>
      <c r="S63" s="52" t="str">
        <f t="shared" si="3"/>
        <v>SG</v>
      </c>
    </row>
    <row r="64" spans="1:24" ht="15.75" customHeight="1" x14ac:dyDescent="0.3">
      <c r="A64" s="4" t="s">
        <v>183</v>
      </c>
      <c r="B64" s="5">
        <v>45476</v>
      </c>
      <c r="C64" s="4" t="s">
        <v>184</v>
      </c>
      <c r="D64" s="4" t="s">
        <v>185</v>
      </c>
      <c r="E64" s="4" t="s">
        <v>116</v>
      </c>
      <c r="F64" s="4" t="s">
        <v>117</v>
      </c>
      <c r="G64" s="4" t="s">
        <v>35</v>
      </c>
      <c r="H64" s="4">
        <v>5</v>
      </c>
      <c r="I64" s="4">
        <v>79.989999999999995</v>
      </c>
      <c r="J64" s="4" t="s">
        <v>59</v>
      </c>
      <c r="K64" s="4" t="s">
        <v>23</v>
      </c>
      <c r="L64" s="4" t="s">
        <v>24</v>
      </c>
      <c r="M64" s="5">
        <v>44981</v>
      </c>
      <c r="N64" s="4">
        <v>399.95</v>
      </c>
      <c r="O64" s="35">
        <v>1</v>
      </c>
      <c r="P64" s="51">
        <f t="shared" ca="1" si="0"/>
        <v>46105.940228703701</v>
      </c>
      <c r="Q64" s="52">
        <f t="shared" si="1"/>
        <v>1809.84</v>
      </c>
      <c r="R64" s="35">
        <f t="shared" si="2"/>
        <v>14</v>
      </c>
      <c r="S64" s="52" t="str">
        <f t="shared" si="3"/>
        <v>DM</v>
      </c>
    </row>
    <row r="65" spans="1:19" ht="15.75" customHeight="1" x14ac:dyDescent="0.3">
      <c r="A65" s="4" t="s">
        <v>186</v>
      </c>
      <c r="B65" s="5">
        <v>45481</v>
      </c>
      <c r="C65" s="4" t="s">
        <v>187</v>
      </c>
      <c r="D65" s="4" t="s">
        <v>188</v>
      </c>
      <c r="E65" s="4" t="s">
        <v>46</v>
      </c>
      <c r="F65" s="4" t="s">
        <v>47</v>
      </c>
      <c r="G65" s="4" t="s">
        <v>48</v>
      </c>
      <c r="H65" s="4">
        <v>1</v>
      </c>
      <c r="I65" s="4">
        <v>149.99</v>
      </c>
      <c r="J65" s="4" t="s">
        <v>36</v>
      </c>
      <c r="K65" s="4" t="s">
        <v>42</v>
      </c>
      <c r="L65" s="4" t="s">
        <v>24</v>
      </c>
      <c r="M65" s="5">
        <v>44421</v>
      </c>
      <c r="N65" s="4">
        <v>149.99</v>
      </c>
      <c r="O65" s="35">
        <v>2</v>
      </c>
      <c r="P65" s="51">
        <f t="shared" ca="1" si="0"/>
        <v>46105.940228703701</v>
      </c>
      <c r="Q65" s="52">
        <f t="shared" si="1"/>
        <v>2099.88</v>
      </c>
      <c r="R65" s="35">
        <f t="shared" si="2"/>
        <v>35</v>
      </c>
      <c r="S65" s="52" t="str">
        <f t="shared" si="3"/>
        <v>MW</v>
      </c>
    </row>
    <row r="66" spans="1:19" ht="15.75" customHeight="1" x14ac:dyDescent="0.3">
      <c r="A66" s="4" t="s">
        <v>189</v>
      </c>
      <c r="B66" s="5">
        <v>45481</v>
      </c>
      <c r="C66" s="4" t="s">
        <v>44</v>
      </c>
      <c r="D66" s="4" t="s">
        <v>45</v>
      </c>
      <c r="E66" s="4" t="s">
        <v>82</v>
      </c>
      <c r="F66" s="4" t="s">
        <v>83</v>
      </c>
      <c r="G66" s="4" t="s">
        <v>21</v>
      </c>
      <c r="H66" s="4">
        <v>2</v>
      </c>
      <c r="I66" s="4">
        <v>699.99</v>
      </c>
      <c r="J66" s="4" t="s">
        <v>36</v>
      </c>
      <c r="K66" s="4" t="s">
        <v>65</v>
      </c>
      <c r="L66" s="4" t="s">
        <v>29</v>
      </c>
      <c r="M66" s="5">
        <v>45389</v>
      </c>
      <c r="N66" s="4">
        <v>1399.98</v>
      </c>
      <c r="O66" s="35">
        <v>0</v>
      </c>
      <c r="P66" s="51">
        <f t="shared" ca="1" si="0"/>
        <v>46105.940228703701</v>
      </c>
      <c r="Q66" s="52">
        <f t="shared" si="1"/>
        <v>6169.7400000000007</v>
      </c>
      <c r="R66" s="35">
        <f t="shared" si="2"/>
        <v>31</v>
      </c>
      <c r="S66" s="52" t="str">
        <f t="shared" si="3"/>
        <v>MB</v>
      </c>
    </row>
    <row r="67" spans="1:19" ht="15.75" customHeight="1" x14ac:dyDescent="0.3">
      <c r="A67" s="4" t="s">
        <v>190</v>
      </c>
      <c r="B67" s="5">
        <v>45481</v>
      </c>
      <c r="C67" s="4" t="s">
        <v>98</v>
      </c>
      <c r="D67" s="4" t="s">
        <v>99</v>
      </c>
      <c r="E67" s="4" t="s">
        <v>119</v>
      </c>
      <c r="F67" s="4" t="s">
        <v>120</v>
      </c>
      <c r="G67" s="4" t="s">
        <v>21</v>
      </c>
      <c r="H67" s="4">
        <v>5</v>
      </c>
      <c r="I67" s="4">
        <v>89.99</v>
      </c>
      <c r="J67" s="4" t="s">
        <v>59</v>
      </c>
      <c r="K67" s="4" t="s">
        <v>42</v>
      </c>
      <c r="L67" s="4" t="s">
        <v>29</v>
      </c>
      <c r="M67" s="5">
        <v>45161</v>
      </c>
      <c r="N67" s="4">
        <v>449.95</v>
      </c>
      <c r="O67" s="35">
        <v>0</v>
      </c>
      <c r="P67" s="51">
        <f t="shared" ref="P67:P130" ca="1" si="4">IF(A67&lt;&gt;"", IF(P67="", NOW(), P67), "")</f>
        <v>46105.940228703701</v>
      </c>
      <c r="Q67" s="52">
        <f t="shared" ref="Q67:Q130" si="5">SUMIFS(N:N, C:C, C67)</f>
        <v>10649.8</v>
      </c>
      <c r="R67" s="35">
        <f t="shared" ref="R67:R130" si="6">COUNTIF($F:$F,F67)</f>
        <v>34</v>
      </c>
      <c r="S67" s="52" t="str">
        <f t="shared" ref="S67:S130" si="7">LEFT(D67,1) &amp; MID(D67,FIND(" ",D67)+1,1)</f>
        <v>BY</v>
      </c>
    </row>
    <row r="68" spans="1:19" ht="15.75" customHeight="1" x14ac:dyDescent="0.3">
      <c r="A68" s="4" t="s">
        <v>191</v>
      </c>
      <c r="B68" s="5">
        <v>45482</v>
      </c>
      <c r="C68" s="4" t="s">
        <v>173</v>
      </c>
      <c r="D68" s="4" t="s">
        <v>174</v>
      </c>
      <c r="E68" s="4" t="s">
        <v>33</v>
      </c>
      <c r="F68" s="4" t="s">
        <v>34</v>
      </c>
      <c r="G68" s="4" t="s">
        <v>35</v>
      </c>
      <c r="H68" s="4">
        <v>4</v>
      </c>
      <c r="I68" s="4">
        <v>59.99</v>
      </c>
      <c r="J68" s="4" t="s">
        <v>22</v>
      </c>
      <c r="K68" s="4" t="s">
        <v>37</v>
      </c>
      <c r="L68" s="4" t="s">
        <v>38</v>
      </c>
      <c r="M68" s="5">
        <v>44509</v>
      </c>
      <c r="N68" s="4">
        <v>239.96</v>
      </c>
      <c r="O68" s="35">
        <v>2</v>
      </c>
      <c r="P68" s="51">
        <f t="shared" ca="1" si="4"/>
        <v>46105.940228703701</v>
      </c>
      <c r="Q68" s="52">
        <f t="shared" si="5"/>
        <v>3669.8500000000004</v>
      </c>
      <c r="R68" s="35">
        <f t="shared" si="6"/>
        <v>29</v>
      </c>
      <c r="S68" s="52" t="str">
        <f t="shared" si="7"/>
        <v>RR</v>
      </c>
    </row>
    <row r="69" spans="1:19" ht="15.75" customHeight="1" x14ac:dyDescent="0.3">
      <c r="A69" s="4" t="s">
        <v>192</v>
      </c>
      <c r="B69" s="5">
        <v>45484</v>
      </c>
      <c r="C69" s="4" t="s">
        <v>26</v>
      </c>
      <c r="D69" s="4" t="s">
        <v>27</v>
      </c>
      <c r="E69" s="4" t="s">
        <v>54</v>
      </c>
      <c r="F69" s="4" t="s">
        <v>55</v>
      </c>
      <c r="G69" s="4" t="s">
        <v>21</v>
      </c>
      <c r="H69" s="4">
        <v>1</v>
      </c>
      <c r="I69" s="4">
        <v>149.99</v>
      </c>
      <c r="J69" s="4" t="s">
        <v>22</v>
      </c>
      <c r="K69" s="4" t="s">
        <v>23</v>
      </c>
      <c r="L69" s="4" t="s">
        <v>38</v>
      </c>
      <c r="M69" s="5">
        <v>44909</v>
      </c>
      <c r="N69" s="4">
        <v>149.99</v>
      </c>
      <c r="O69" s="35">
        <v>1</v>
      </c>
      <c r="P69" s="51">
        <f t="shared" ca="1" si="4"/>
        <v>46105.940228703701</v>
      </c>
      <c r="Q69" s="52">
        <f t="shared" si="5"/>
        <v>6949.84</v>
      </c>
      <c r="R69" s="35">
        <f t="shared" si="6"/>
        <v>16</v>
      </c>
      <c r="S69" s="52" t="str">
        <f t="shared" si="7"/>
        <v>JJ</v>
      </c>
    </row>
    <row r="70" spans="1:19" ht="15.75" customHeight="1" x14ac:dyDescent="0.3">
      <c r="A70" s="4" t="s">
        <v>193</v>
      </c>
      <c r="B70" s="5">
        <v>45484</v>
      </c>
      <c r="C70" s="4" t="s">
        <v>194</v>
      </c>
      <c r="D70" s="4" t="s">
        <v>195</v>
      </c>
      <c r="E70" s="4" t="s">
        <v>107</v>
      </c>
      <c r="F70" s="4" t="s">
        <v>108</v>
      </c>
      <c r="G70" s="4" t="s">
        <v>48</v>
      </c>
      <c r="H70" s="4">
        <v>1</v>
      </c>
      <c r="I70" s="4">
        <v>299.99</v>
      </c>
      <c r="J70" s="4" t="s">
        <v>28</v>
      </c>
      <c r="K70" s="4" t="s">
        <v>42</v>
      </c>
      <c r="L70" s="4" t="s">
        <v>29</v>
      </c>
      <c r="M70" s="5">
        <v>44891</v>
      </c>
      <c r="N70" s="4">
        <v>299.99</v>
      </c>
      <c r="O70" s="35">
        <v>1</v>
      </c>
      <c r="P70" s="51">
        <f t="shared" ca="1" si="4"/>
        <v>46105.940228703701</v>
      </c>
      <c r="Q70" s="52">
        <f t="shared" si="5"/>
        <v>1479.91</v>
      </c>
      <c r="R70" s="35">
        <f t="shared" si="6"/>
        <v>26</v>
      </c>
      <c r="S70" s="52" t="str">
        <f t="shared" si="7"/>
        <v>FT</v>
      </c>
    </row>
    <row r="71" spans="1:19" ht="15.75" customHeight="1" x14ac:dyDescent="0.3">
      <c r="A71" s="4" t="s">
        <v>196</v>
      </c>
      <c r="B71" s="5">
        <v>45487</v>
      </c>
      <c r="C71" s="4" t="s">
        <v>194</v>
      </c>
      <c r="D71" s="4" t="s">
        <v>195</v>
      </c>
      <c r="E71" s="4" t="s">
        <v>128</v>
      </c>
      <c r="F71" s="4" t="s">
        <v>129</v>
      </c>
      <c r="G71" s="4" t="s">
        <v>48</v>
      </c>
      <c r="H71" s="4">
        <v>2</v>
      </c>
      <c r="I71" s="4">
        <v>199.99</v>
      </c>
      <c r="J71" s="4" t="s">
        <v>22</v>
      </c>
      <c r="K71" s="4" t="s">
        <v>42</v>
      </c>
      <c r="L71" s="4" t="s">
        <v>24</v>
      </c>
      <c r="M71" s="5">
        <v>44541</v>
      </c>
      <c r="N71" s="4">
        <v>399.98</v>
      </c>
      <c r="O71" s="35">
        <v>2</v>
      </c>
      <c r="P71" s="51">
        <f t="shared" ca="1" si="4"/>
        <v>46105.940228703701</v>
      </c>
      <c r="Q71" s="52">
        <f t="shared" si="5"/>
        <v>1479.91</v>
      </c>
      <c r="R71" s="35">
        <f t="shared" si="6"/>
        <v>15</v>
      </c>
      <c r="S71" s="52" t="str">
        <f t="shared" si="7"/>
        <v>FT</v>
      </c>
    </row>
    <row r="72" spans="1:19" ht="15.75" customHeight="1" x14ac:dyDescent="0.3">
      <c r="A72" s="4" t="s">
        <v>197</v>
      </c>
      <c r="B72" s="5">
        <v>45490</v>
      </c>
      <c r="C72" s="4" t="s">
        <v>198</v>
      </c>
      <c r="D72" s="4" t="s">
        <v>199</v>
      </c>
      <c r="E72" s="4" t="s">
        <v>33</v>
      </c>
      <c r="F72" s="4" t="s">
        <v>34</v>
      </c>
      <c r="G72" s="4" t="s">
        <v>35</v>
      </c>
      <c r="H72" s="4">
        <v>3</v>
      </c>
      <c r="I72" s="4">
        <v>59.99</v>
      </c>
      <c r="J72" s="4" t="s">
        <v>28</v>
      </c>
      <c r="K72" s="4" t="s">
        <v>52</v>
      </c>
      <c r="L72" s="4" t="s">
        <v>24</v>
      </c>
      <c r="M72" s="5">
        <v>45130</v>
      </c>
      <c r="N72" s="4">
        <v>179.97</v>
      </c>
      <c r="O72" s="35">
        <v>0</v>
      </c>
      <c r="P72" s="51">
        <f t="shared" ca="1" si="4"/>
        <v>46105.940228703701</v>
      </c>
      <c r="Q72" s="52">
        <f t="shared" si="5"/>
        <v>6379.87</v>
      </c>
      <c r="R72" s="35">
        <f t="shared" si="6"/>
        <v>29</v>
      </c>
      <c r="S72" s="52" t="str">
        <f t="shared" si="7"/>
        <v>GM</v>
      </c>
    </row>
    <row r="73" spans="1:19" ht="15.75" customHeight="1" x14ac:dyDescent="0.3">
      <c r="A73" s="4" t="s">
        <v>200</v>
      </c>
      <c r="B73" s="5">
        <v>45490</v>
      </c>
      <c r="C73" s="4" t="s">
        <v>74</v>
      </c>
      <c r="D73" s="4" t="s">
        <v>75</v>
      </c>
      <c r="E73" s="4" t="s">
        <v>46</v>
      </c>
      <c r="F73" s="4" t="s">
        <v>47</v>
      </c>
      <c r="G73" s="4" t="s">
        <v>48</v>
      </c>
      <c r="H73" s="4">
        <v>3</v>
      </c>
      <c r="I73" s="4">
        <v>149.99</v>
      </c>
      <c r="J73" s="4" t="s">
        <v>22</v>
      </c>
      <c r="K73" s="4" t="s">
        <v>23</v>
      </c>
      <c r="L73" s="4" t="s">
        <v>29</v>
      </c>
      <c r="M73" s="5">
        <v>45199</v>
      </c>
      <c r="N73" s="4">
        <v>449.97</v>
      </c>
      <c r="O73" s="35">
        <v>0</v>
      </c>
      <c r="P73" s="51">
        <f t="shared" ca="1" si="4"/>
        <v>46105.940228703701</v>
      </c>
      <c r="Q73" s="52">
        <f t="shared" si="5"/>
        <v>5949.85</v>
      </c>
      <c r="R73" s="35">
        <f t="shared" si="6"/>
        <v>35</v>
      </c>
      <c r="S73" s="52" t="str">
        <f t="shared" si="7"/>
        <v>PR</v>
      </c>
    </row>
    <row r="74" spans="1:19" ht="15.75" customHeight="1" x14ac:dyDescent="0.3">
      <c r="A74" s="4" t="s">
        <v>201</v>
      </c>
      <c r="B74" s="5">
        <v>45491</v>
      </c>
      <c r="C74" s="4" t="s">
        <v>67</v>
      </c>
      <c r="D74" s="4" t="s">
        <v>68</v>
      </c>
      <c r="E74" s="4" t="s">
        <v>128</v>
      </c>
      <c r="F74" s="4" t="s">
        <v>129</v>
      </c>
      <c r="G74" s="4" t="s">
        <v>48</v>
      </c>
      <c r="H74" s="4">
        <v>3</v>
      </c>
      <c r="I74" s="4">
        <v>199.99</v>
      </c>
      <c r="J74" s="4" t="s">
        <v>22</v>
      </c>
      <c r="K74" s="4" t="s">
        <v>42</v>
      </c>
      <c r="L74" s="4" t="s">
        <v>29</v>
      </c>
      <c r="M74" s="5">
        <v>45254</v>
      </c>
      <c r="N74" s="4">
        <v>599.97</v>
      </c>
      <c r="O74" s="35">
        <v>0</v>
      </c>
      <c r="P74" s="51">
        <f t="shared" ca="1" si="4"/>
        <v>46105.940228703701</v>
      </c>
      <c r="Q74" s="52">
        <f t="shared" si="5"/>
        <v>8009.7699999999995</v>
      </c>
      <c r="R74" s="35">
        <f t="shared" si="6"/>
        <v>15</v>
      </c>
      <c r="S74" s="52" t="str">
        <f t="shared" si="7"/>
        <v>KH</v>
      </c>
    </row>
    <row r="75" spans="1:19" ht="15.75" customHeight="1" x14ac:dyDescent="0.3">
      <c r="A75" s="4" t="s">
        <v>202</v>
      </c>
      <c r="B75" s="5">
        <v>45496</v>
      </c>
      <c r="C75" s="4" t="s">
        <v>152</v>
      </c>
      <c r="D75" s="4" t="s">
        <v>153</v>
      </c>
      <c r="E75" s="4" t="s">
        <v>63</v>
      </c>
      <c r="F75" s="4" t="s">
        <v>64</v>
      </c>
      <c r="G75" s="4" t="s">
        <v>21</v>
      </c>
      <c r="H75" s="4">
        <v>1</v>
      </c>
      <c r="I75" s="4">
        <v>899.99</v>
      </c>
      <c r="J75" s="4" t="s">
        <v>22</v>
      </c>
      <c r="K75" s="4" t="s">
        <v>23</v>
      </c>
      <c r="L75" s="4" t="s">
        <v>38</v>
      </c>
      <c r="M75" s="5">
        <v>45179</v>
      </c>
      <c r="N75" s="4">
        <v>899.99</v>
      </c>
      <c r="O75" s="35">
        <v>0</v>
      </c>
      <c r="P75" s="51">
        <f t="shared" ca="1" si="4"/>
        <v>46105.940228703701</v>
      </c>
      <c r="Q75" s="52">
        <f t="shared" si="5"/>
        <v>5619.869999999999</v>
      </c>
      <c r="R75" s="35">
        <f t="shared" si="6"/>
        <v>24</v>
      </c>
      <c r="S75" s="52" t="str">
        <f t="shared" si="7"/>
        <v>SB</v>
      </c>
    </row>
    <row r="76" spans="1:19" ht="15.75" customHeight="1" x14ac:dyDescent="0.3">
      <c r="A76" s="4" t="s">
        <v>203</v>
      </c>
      <c r="B76" s="5">
        <v>45497</v>
      </c>
      <c r="C76" s="4" t="s">
        <v>26</v>
      </c>
      <c r="D76" s="4" t="s">
        <v>27</v>
      </c>
      <c r="E76" s="4" t="s">
        <v>63</v>
      </c>
      <c r="F76" s="4" t="s">
        <v>64</v>
      </c>
      <c r="G76" s="4" t="s">
        <v>21</v>
      </c>
      <c r="H76" s="4">
        <v>5</v>
      </c>
      <c r="I76" s="4">
        <v>899.99</v>
      </c>
      <c r="J76" s="4" t="s">
        <v>59</v>
      </c>
      <c r="K76" s="4" t="s">
        <v>37</v>
      </c>
      <c r="L76" s="4" t="s">
        <v>38</v>
      </c>
      <c r="M76" s="5">
        <v>44899</v>
      </c>
      <c r="N76" s="4">
        <v>4499.95</v>
      </c>
      <c r="O76" s="35">
        <v>1</v>
      </c>
      <c r="P76" s="51">
        <f t="shared" ca="1" si="4"/>
        <v>46105.940228703701</v>
      </c>
      <c r="Q76" s="52">
        <f t="shared" si="5"/>
        <v>6949.84</v>
      </c>
      <c r="R76" s="35">
        <f t="shared" si="6"/>
        <v>24</v>
      </c>
      <c r="S76" s="52" t="str">
        <f t="shared" si="7"/>
        <v>JJ</v>
      </c>
    </row>
    <row r="77" spans="1:19" ht="15.75" customHeight="1" x14ac:dyDescent="0.3">
      <c r="A77" s="4" t="s">
        <v>204</v>
      </c>
      <c r="B77" s="5">
        <v>45498</v>
      </c>
      <c r="C77" s="4" t="s">
        <v>184</v>
      </c>
      <c r="D77" s="4" t="s">
        <v>185</v>
      </c>
      <c r="E77" s="4" t="s">
        <v>33</v>
      </c>
      <c r="F77" s="4" t="s">
        <v>34</v>
      </c>
      <c r="G77" s="4" t="s">
        <v>35</v>
      </c>
      <c r="H77" s="4">
        <v>2</v>
      </c>
      <c r="I77" s="4">
        <v>59.99</v>
      </c>
      <c r="J77" s="4" t="s">
        <v>22</v>
      </c>
      <c r="K77" s="4" t="s">
        <v>42</v>
      </c>
      <c r="L77" s="4" t="s">
        <v>38</v>
      </c>
      <c r="M77" s="5">
        <v>45152</v>
      </c>
      <c r="N77" s="4">
        <v>119.98</v>
      </c>
      <c r="O77" s="35">
        <v>0</v>
      </c>
      <c r="P77" s="51">
        <f t="shared" ca="1" si="4"/>
        <v>46105.940228703701</v>
      </c>
      <c r="Q77" s="52">
        <f t="shared" si="5"/>
        <v>1809.84</v>
      </c>
      <c r="R77" s="35">
        <f t="shared" si="6"/>
        <v>29</v>
      </c>
      <c r="S77" s="52" t="str">
        <f t="shared" si="7"/>
        <v>DM</v>
      </c>
    </row>
    <row r="78" spans="1:19" ht="15.75" customHeight="1" x14ac:dyDescent="0.3">
      <c r="A78" s="4" t="s">
        <v>205</v>
      </c>
      <c r="B78" s="5">
        <v>45498</v>
      </c>
      <c r="C78" s="4" t="s">
        <v>198</v>
      </c>
      <c r="D78" s="4" t="s">
        <v>199</v>
      </c>
      <c r="E78" s="4" t="s">
        <v>19</v>
      </c>
      <c r="F78" s="4" t="s">
        <v>20</v>
      </c>
      <c r="G78" s="4" t="s">
        <v>21</v>
      </c>
      <c r="H78" s="4">
        <v>4</v>
      </c>
      <c r="I78" s="4">
        <v>249.99</v>
      </c>
      <c r="J78" s="4" t="s">
        <v>59</v>
      </c>
      <c r="K78" s="4" t="s">
        <v>23</v>
      </c>
      <c r="L78" s="4" t="s">
        <v>38</v>
      </c>
      <c r="M78" s="5">
        <v>45127</v>
      </c>
      <c r="N78" s="4">
        <v>999.96</v>
      </c>
      <c r="O78" s="35">
        <v>1</v>
      </c>
      <c r="P78" s="51">
        <f t="shared" ca="1" si="4"/>
        <v>46105.940228703701</v>
      </c>
      <c r="Q78" s="52">
        <f t="shared" si="5"/>
        <v>6379.87</v>
      </c>
      <c r="R78" s="35">
        <f t="shared" si="6"/>
        <v>26</v>
      </c>
      <c r="S78" s="52" t="str">
        <f t="shared" si="7"/>
        <v>GM</v>
      </c>
    </row>
    <row r="79" spans="1:19" ht="15.75" customHeight="1" x14ac:dyDescent="0.3">
      <c r="A79" s="4" t="s">
        <v>206</v>
      </c>
      <c r="B79" s="5">
        <v>45500</v>
      </c>
      <c r="C79" s="4" t="s">
        <v>98</v>
      </c>
      <c r="D79" s="4" t="s">
        <v>99</v>
      </c>
      <c r="E79" s="4" t="s">
        <v>19</v>
      </c>
      <c r="F79" s="4" t="s">
        <v>20</v>
      </c>
      <c r="G79" s="4" t="s">
        <v>21</v>
      </c>
      <c r="H79" s="4">
        <v>2</v>
      </c>
      <c r="I79" s="4">
        <v>249.99</v>
      </c>
      <c r="J79" s="4" t="s">
        <v>22</v>
      </c>
      <c r="K79" s="4" t="s">
        <v>42</v>
      </c>
      <c r="L79" s="4" t="s">
        <v>29</v>
      </c>
      <c r="M79" s="5">
        <v>45164</v>
      </c>
      <c r="N79" s="4">
        <v>499.98</v>
      </c>
      <c r="O79" s="35">
        <v>0</v>
      </c>
      <c r="P79" s="51">
        <f t="shared" ca="1" si="4"/>
        <v>46105.940228703701</v>
      </c>
      <c r="Q79" s="52">
        <f t="shared" si="5"/>
        <v>10649.8</v>
      </c>
      <c r="R79" s="35">
        <f t="shared" si="6"/>
        <v>26</v>
      </c>
      <c r="S79" s="52" t="str">
        <f t="shared" si="7"/>
        <v>BY</v>
      </c>
    </row>
    <row r="80" spans="1:19" ht="15.75" customHeight="1" x14ac:dyDescent="0.3">
      <c r="A80" s="4" t="s">
        <v>207</v>
      </c>
      <c r="B80" s="5">
        <v>45500</v>
      </c>
      <c r="C80" s="4" t="s">
        <v>149</v>
      </c>
      <c r="D80" s="4" t="s">
        <v>150</v>
      </c>
      <c r="E80" s="4" t="s">
        <v>107</v>
      </c>
      <c r="F80" s="4" t="s">
        <v>108</v>
      </c>
      <c r="G80" s="4" t="s">
        <v>48</v>
      </c>
      <c r="H80" s="4">
        <v>1</v>
      </c>
      <c r="I80" s="4">
        <v>299.99</v>
      </c>
      <c r="J80" s="4" t="s">
        <v>22</v>
      </c>
      <c r="K80" s="4" t="s">
        <v>37</v>
      </c>
      <c r="L80" s="4" t="s">
        <v>24</v>
      </c>
      <c r="M80" s="5">
        <v>44982</v>
      </c>
      <c r="N80" s="4">
        <v>299.99</v>
      </c>
      <c r="O80" s="35">
        <v>1</v>
      </c>
      <c r="P80" s="51">
        <f t="shared" ca="1" si="4"/>
        <v>46105.940228703701</v>
      </c>
      <c r="Q80" s="52">
        <f t="shared" si="5"/>
        <v>7309.7999999999993</v>
      </c>
      <c r="R80" s="35">
        <f t="shared" si="6"/>
        <v>26</v>
      </c>
      <c r="S80" s="52" t="str">
        <f t="shared" si="7"/>
        <v>DK</v>
      </c>
    </row>
    <row r="81" spans="1:19" ht="15.75" customHeight="1" x14ac:dyDescent="0.3">
      <c r="A81" s="4" t="s">
        <v>208</v>
      </c>
      <c r="B81" s="5">
        <v>45501</v>
      </c>
      <c r="C81" s="4" t="s">
        <v>88</v>
      </c>
      <c r="D81" s="4" t="s">
        <v>89</v>
      </c>
      <c r="E81" s="4" t="s">
        <v>119</v>
      </c>
      <c r="F81" s="4" t="s">
        <v>120</v>
      </c>
      <c r="G81" s="4" t="s">
        <v>21</v>
      </c>
      <c r="H81" s="4">
        <v>2</v>
      </c>
      <c r="I81" s="4">
        <v>89.99</v>
      </c>
      <c r="J81" s="4" t="s">
        <v>36</v>
      </c>
      <c r="K81" s="4" t="s">
        <v>37</v>
      </c>
      <c r="L81" s="4" t="s">
        <v>24</v>
      </c>
      <c r="M81" s="5">
        <v>44976</v>
      </c>
      <c r="N81" s="4">
        <v>179.98</v>
      </c>
      <c r="O81" s="35">
        <v>1</v>
      </c>
      <c r="P81" s="51">
        <f t="shared" ca="1" si="4"/>
        <v>46105.940228703701</v>
      </c>
      <c r="Q81" s="52">
        <f t="shared" si="5"/>
        <v>15659.65</v>
      </c>
      <c r="R81" s="35">
        <f t="shared" si="6"/>
        <v>34</v>
      </c>
      <c r="S81" s="52" t="str">
        <f t="shared" si="7"/>
        <v>MC</v>
      </c>
    </row>
    <row r="82" spans="1:19" ht="15.75" customHeight="1" x14ac:dyDescent="0.3">
      <c r="A82" s="4" t="s">
        <v>209</v>
      </c>
      <c r="B82" s="5">
        <v>45501</v>
      </c>
      <c r="C82" s="4" t="s">
        <v>149</v>
      </c>
      <c r="D82" s="4" t="s">
        <v>150</v>
      </c>
      <c r="E82" s="4" t="s">
        <v>107</v>
      </c>
      <c r="F82" s="4" t="s">
        <v>108</v>
      </c>
      <c r="G82" s="4" t="s">
        <v>48</v>
      </c>
      <c r="H82" s="4">
        <v>3</v>
      </c>
      <c r="I82" s="4">
        <v>299.99</v>
      </c>
      <c r="J82" s="4" t="s">
        <v>22</v>
      </c>
      <c r="K82" s="4" t="s">
        <v>23</v>
      </c>
      <c r="L82" s="4" t="s">
        <v>24</v>
      </c>
      <c r="M82" s="5">
        <v>44732</v>
      </c>
      <c r="N82" s="4">
        <v>899.97</v>
      </c>
      <c r="O82" s="35">
        <v>2</v>
      </c>
      <c r="P82" s="51">
        <f t="shared" ca="1" si="4"/>
        <v>46105.940228703701</v>
      </c>
      <c r="Q82" s="52">
        <f t="shared" si="5"/>
        <v>7309.7999999999993</v>
      </c>
      <c r="R82" s="35">
        <f t="shared" si="6"/>
        <v>26</v>
      </c>
      <c r="S82" s="52" t="str">
        <f t="shared" si="7"/>
        <v>DK</v>
      </c>
    </row>
    <row r="83" spans="1:19" ht="15.75" customHeight="1" x14ac:dyDescent="0.3">
      <c r="A83" s="4" t="s">
        <v>210</v>
      </c>
      <c r="B83" s="5">
        <v>45503</v>
      </c>
      <c r="C83" s="4" t="s">
        <v>88</v>
      </c>
      <c r="D83" s="4" t="s">
        <v>89</v>
      </c>
      <c r="E83" s="4" t="s">
        <v>82</v>
      </c>
      <c r="F83" s="4" t="s">
        <v>83</v>
      </c>
      <c r="G83" s="4" t="s">
        <v>21</v>
      </c>
      <c r="H83" s="4">
        <v>2</v>
      </c>
      <c r="I83" s="4">
        <v>699.99</v>
      </c>
      <c r="J83" s="4" t="s">
        <v>28</v>
      </c>
      <c r="K83" s="4" t="s">
        <v>42</v>
      </c>
      <c r="L83" s="4" t="s">
        <v>29</v>
      </c>
      <c r="M83" s="5">
        <v>44999</v>
      </c>
      <c r="N83" s="4">
        <v>1399.98</v>
      </c>
      <c r="O83" s="35">
        <v>1</v>
      </c>
      <c r="P83" s="51">
        <f t="shared" ca="1" si="4"/>
        <v>46105.940228703701</v>
      </c>
      <c r="Q83" s="52">
        <f t="shared" si="5"/>
        <v>15659.65</v>
      </c>
      <c r="R83" s="35">
        <f t="shared" si="6"/>
        <v>31</v>
      </c>
      <c r="S83" s="52" t="str">
        <f t="shared" si="7"/>
        <v>MC</v>
      </c>
    </row>
    <row r="84" spans="1:19" ht="15.75" customHeight="1" x14ac:dyDescent="0.3">
      <c r="A84" s="4" t="s">
        <v>211</v>
      </c>
      <c r="B84" s="5">
        <v>45504</v>
      </c>
      <c r="C84" s="4" t="s">
        <v>122</v>
      </c>
      <c r="D84" s="4" t="s">
        <v>123</v>
      </c>
      <c r="E84" s="4" t="s">
        <v>63</v>
      </c>
      <c r="F84" s="4" t="s">
        <v>64</v>
      </c>
      <c r="G84" s="4" t="s">
        <v>21</v>
      </c>
      <c r="H84" s="4">
        <v>4</v>
      </c>
      <c r="I84" s="4">
        <v>899.99</v>
      </c>
      <c r="J84" s="4" t="s">
        <v>59</v>
      </c>
      <c r="K84" s="4" t="s">
        <v>37</v>
      </c>
      <c r="L84" s="4" t="s">
        <v>38</v>
      </c>
      <c r="M84" s="5">
        <v>44523</v>
      </c>
      <c r="N84" s="4">
        <v>3599.96</v>
      </c>
      <c r="O84" s="35">
        <v>2</v>
      </c>
      <c r="P84" s="51">
        <f t="shared" ca="1" si="4"/>
        <v>46105.940228703701</v>
      </c>
      <c r="Q84" s="52">
        <f t="shared" si="5"/>
        <v>6459.79</v>
      </c>
      <c r="R84" s="35">
        <f t="shared" si="6"/>
        <v>24</v>
      </c>
      <c r="S84" s="52" t="str">
        <f t="shared" si="7"/>
        <v>HR</v>
      </c>
    </row>
    <row r="85" spans="1:19" ht="15.75" customHeight="1" x14ac:dyDescent="0.3">
      <c r="A85" s="4" t="s">
        <v>212</v>
      </c>
      <c r="B85" s="5">
        <v>45509</v>
      </c>
      <c r="C85" s="4" t="s">
        <v>213</v>
      </c>
      <c r="D85" s="4" t="s">
        <v>214</v>
      </c>
      <c r="E85" s="4" t="s">
        <v>46</v>
      </c>
      <c r="F85" s="4" t="s">
        <v>47</v>
      </c>
      <c r="G85" s="4" t="s">
        <v>48</v>
      </c>
      <c r="H85" s="4">
        <v>2</v>
      </c>
      <c r="I85" s="4">
        <v>149.99</v>
      </c>
      <c r="J85" s="4" t="s">
        <v>28</v>
      </c>
      <c r="K85" s="4" t="s">
        <v>52</v>
      </c>
      <c r="L85" s="4" t="s">
        <v>24</v>
      </c>
      <c r="M85" s="5">
        <v>44542</v>
      </c>
      <c r="N85" s="4">
        <v>299.98</v>
      </c>
      <c r="O85" s="35">
        <v>2</v>
      </c>
      <c r="P85" s="51">
        <f t="shared" ca="1" si="4"/>
        <v>46105.940228703701</v>
      </c>
      <c r="Q85" s="52">
        <f t="shared" si="5"/>
        <v>3649.8599999999997</v>
      </c>
      <c r="R85" s="35">
        <f t="shared" si="6"/>
        <v>35</v>
      </c>
      <c r="S85" s="52" t="str">
        <f t="shared" si="7"/>
        <v>EH</v>
      </c>
    </row>
    <row r="86" spans="1:19" ht="15.75" customHeight="1" x14ac:dyDescent="0.3">
      <c r="A86" s="4" t="s">
        <v>215</v>
      </c>
      <c r="B86" s="5">
        <v>45510</v>
      </c>
      <c r="C86" s="4" t="s">
        <v>104</v>
      </c>
      <c r="D86" s="4" t="s">
        <v>105</v>
      </c>
      <c r="E86" s="4" t="s">
        <v>46</v>
      </c>
      <c r="F86" s="4" t="s">
        <v>47</v>
      </c>
      <c r="G86" s="4" t="s">
        <v>48</v>
      </c>
      <c r="H86" s="4">
        <v>2</v>
      </c>
      <c r="I86" s="4">
        <v>149.99</v>
      </c>
      <c r="J86" s="4" t="s">
        <v>59</v>
      </c>
      <c r="K86" s="4" t="s">
        <v>65</v>
      </c>
      <c r="L86" s="4" t="s">
        <v>38</v>
      </c>
      <c r="M86" s="5">
        <v>44667</v>
      </c>
      <c r="N86" s="4">
        <v>299.98</v>
      </c>
      <c r="O86" s="35">
        <v>2</v>
      </c>
      <c r="P86" s="51">
        <f t="shared" ca="1" si="4"/>
        <v>46105.940228703701</v>
      </c>
      <c r="Q86" s="52">
        <f t="shared" si="5"/>
        <v>3769.8300000000004</v>
      </c>
      <c r="R86" s="35">
        <f t="shared" si="6"/>
        <v>35</v>
      </c>
      <c r="S86" s="52" t="str">
        <f t="shared" si="7"/>
        <v>CP</v>
      </c>
    </row>
    <row r="87" spans="1:19" ht="15.75" customHeight="1" x14ac:dyDescent="0.3">
      <c r="A87" s="4" t="s">
        <v>216</v>
      </c>
      <c r="B87" s="5">
        <v>45513</v>
      </c>
      <c r="C87" s="4" t="s">
        <v>91</v>
      </c>
      <c r="D87" s="4" t="s">
        <v>92</v>
      </c>
      <c r="E87" s="4" t="s">
        <v>119</v>
      </c>
      <c r="F87" s="4" t="s">
        <v>120</v>
      </c>
      <c r="G87" s="4" t="s">
        <v>21</v>
      </c>
      <c r="H87" s="4">
        <v>1</v>
      </c>
      <c r="I87" s="4">
        <v>89.99</v>
      </c>
      <c r="J87" s="4" t="s">
        <v>28</v>
      </c>
      <c r="K87" s="4" t="s">
        <v>42</v>
      </c>
      <c r="L87" s="4" t="s">
        <v>38</v>
      </c>
      <c r="M87" s="5">
        <v>45393</v>
      </c>
      <c r="N87" s="4">
        <v>89.99</v>
      </c>
      <c r="O87" s="35">
        <v>0</v>
      </c>
      <c r="P87" s="51">
        <f t="shared" ca="1" si="4"/>
        <v>46105.940228703701</v>
      </c>
      <c r="Q87" s="52">
        <f t="shared" si="5"/>
        <v>1909.93</v>
      </c>
      <c r="R87" s="35">
        <f t="shared" si="6"/>
        <v>34</v>
      </c>
      <c r="S87" s="52" t="str">
        <f t="shared" si="7"/>
        <v>MG</v>
      </c>
    </row>
    <row r="88" spans="1:19" ht="15.75" customHeight="1" x14ac:dyDescent="0.3">
      <c r="A88" s="4" t="s">
        <v>217</v>
      </c>
      <c r="B88" s="5">
        <v>45515</v>
      </c>
      <c r="C88" s="4" t="s">
        <v>88</v>
      </c>
      <c r="D88" s="4" t="s">
        <v>89</v>
      </c>
      <c r="E88" s="4" t="s">
        <v>107</v>
      </c>
      <c r="F88" s="4" t="s">
        <v>108</v>
      </c>
      <c r="G88" s="4" t="s">
        <v>48</v>
      </c>
      <c r="H88" s="4">
        <v>5</v>
      </c>
      <c r="I88" s="4">
        <v>299.99</v>
      </c>
      <c r="J88" s="4" t="s">
        <v>28</v>
      </c>
      <c r="K88" s="4" t="s">
        <v>42</v>
      </c>
      <c r="L88" s="4" t="s">
        <v>24</v>
      </c>
      <c r="M88" s="5">
        <v>44965</v>
      </c>
      <c r="N88" s="4">
        <v>1499.95</v>
      </c>
      <c r="O88" s="35">
        <v>1</v>
      </c>
      <c r="P88" s="51">
        <f t="shared" ca="1" si="4"/>
        <v>46105.940228703701</v>
      </c>
      <c r="Q88" s="52">
        <f t="shared" si="5"/>
        <v>15659.65</v>
      </c>
      <c r="R88" s="35">
        <f t="shared" si="6"/>
        <v>26</v>
      </c>
      <c r="S88" s="52" t="str">
        <f t="shared" si="7"/>
        <v>MC</v>
      </c>
    </row>
    <row r="89" spans="1:19" ht="15.75" customHeight="1" x14ac:dyDescent="0.3">
      <c r="A89" s="4" t="s">
        <v>218</v>
      </c>
      <c r="B89" s="5">
        <v>45517</v>
      </c>
      <c r="C89" s="4" t="s">
        <v>184</v>
      </c>
      <c r="D89" s="4" t="s">
        <v>185</v>
      </c>
      <c r="E89" s="4" t="s">
        <v>54</v>
      </c>
      <c r="F89" s="4" t="s">
        <v>55</v>
      </c>
      <c r="G89" s="4" t="s">
        <v>21</v>
      </c>
      <c r="H89" s="4">
        <v>4</v>
      </c>
      <c r="I89" s="4">
        <v>149.99</v>
      </c>
      <c r="J89" s="4" t="s">
        <v>59</v>
      </c>
      <c r="K89" s="4" t="s">
        <v>37</v>
      </c>
      <c r="L89" s="4" t="s">
        <v>29</v>
      </c>
      <c r="M89" s="5">
        <v>44820</v>
      </c>
      <c r="N89" s="4">
        <v>599.96</v>
      </c>
      <c r="O89" s="35">
        <v>1</v>
      </c>
      <c r="P89" s="51">
        <f t="shared" ca="1" si="4"/>
        <v>46105.940228703701</v>
      </c>
      <c r="Q89" s="52">
        <f t="shared" si="5"/>
        <v>1809.84</v>
      </c>
      <c r="R89" s="35">
        <f t="shared" si="6"/>
        <v>16</v>
      </c>
      <c r="S89" s="52" t="str">
        <f t="shared" si="7"/>
        <v>DM</v>
      </c>
    </row>
    <row r="90" spans="1:19" ht="15.75" customHeight="1" x14ac:dyDescent="0.3">
      <c r="A90" s="4" t="s">
        <v>219</v>
      </c>
      <c r="B90" s="5">
        <v>45517</v>
      </c>
      <c r="C90" s="4" t="s">
        <v>187</v>
      </c>
      <c r="D90" s="4" t="s">
        <v>188</v>
      </c>
      <c r="E90" s="4" t="s">
        <v>19</v>
      </c>
      <c r="F90" s="4" t="s">
        <v>20</v>
      </c>
      <c r="G90" s="4" t="s">
        <v>21</v>
      </c>
      <c r="H90" s="4">
        <v>5</v>
      </c>
      <c r="I90" s="4">
        <v>249.99</v>
      </c>
      <c r="J90" s="4" t="s">
        <v>36</v>
      </c>
      <c r="K90" s="4" t="s">
        <v>65</v>
      </c>
      <c r="L90" s="4" t="s">
        <v>29</v>
      </c>
      <c r="M90" s="5">
        <v>44782</v>
      </c>
      <c r="N90" s="4">
        <v>1249.95</v>
      </c>
      <c r="O90" s="35">
        <v>2</v>
      </c>
      <c r="P90" s="51">
        <f t="shared" ca="1" si="4"/>
        <v>46105.940228703701</v>
      </c>
      <c r="Q90" s="52">
        <f t="shared" si="5"/>
        <v>2099.88</v>
      </c>
      <c r="R90" s="35">
        <f t="shared" si="6"/>
        <v>26</v>
      </c>
      <c r="S90" s="52" t="str">
        <f t="shared" si="7"/>
        <v>MW</v>
      </c>
    </row>
    <row r="91" spans="1:19" ht="15.75" customHeight="1" x14ac:dyDescent="0.3">
      <c r="A91" s="4" t="s">
        <v>220</v>
      </c>
      <c r="B91" s="5">
        <v>45517</v>
      </c>
      <c r="C91" s="4" t="s">
        <v>67</v>
      </c>
      <c r="D91" s="4" t="s">
        <v>68</v>
      </c>
      <c r="E91" s="4" t="s">
        <v>19</v>
      </c>
      <c r="F91" s="4" t="s">
        <v>20</v>
      </c>
      <c r="G91" s="4" t="s">
        <v>21</v>
      </c>
      <c r="H91" s="4">
        <v>3</v>
      </c>
      <c r="I91" s="4">
        <v>249.99</v>
      </c>
      <c r="J91" s="4" t="s">
        <v>36</v>
      </c>
      <c r="K91" s="4" t="s">
        <v>42</v>
      </c>
      <c r="L91" s="4" t="s">
        <v>29</v>
      </c>
      <c r="M91" s="5">
        <v>44465</v>
      </c>
      <c r="N91" s="4">
        <v>749.97</v>
      </c>
      <c r="O91" s="35">
        <v>2</v>
      </c>
      <c r="P91" s="51">
        <f t="shared" ca="1" si="4"/>
        <v>46105.940228703701</v>
      </c>
      <c r="Q91" s="52">
        <f t="shared" si="5"/>
        <v>8009.7699999999995</v>
      </c>
      <c r="R91" s="35">
        <f t="shared" si="6"/>
        <v>26</v>
      </c>
      <c r="S91" s="52" t="str">
        <f t="shared" si="7"/>
        <v>KH</v>
      </c>
    </row>
    <row r="92" spans="1:19" ht="15.75" customHeight="1" x14ac:dyDescent="0.3">
      <c r="A92" s="4" t="s">
        <v>221</v>
      </c>
      <c r="B92" s="5">
        <v>45517</v>
      </c>
      <c r="C92" s="4" t="s">
        <v>40</v>
      </c>
      <c r="D92" s="4" t="s">
        <v>41</v>
      </c>
      <c r="E92" s="4" t="s">
        <v>128</v>
      </c>
      <c r="F92" s="4" t="s">
        <v>129</v>
      </c>
      <c r="G92" s="4" t="s">
        <v>48</v>
      </c>
      <c r="H92" s="4">
        <v>4</v>
      </c>
      <c r="I92" s="4">
        <v>199.99</v>
      </c>
      <c r="J92" s="4" t="s">
        <v>22</v>
      </c>
      <c r="K92" s="4" t="s">
        <v>42</v>
      </c>
      <c r="L92" s="4" t="s">
        <v>38</v>
      </c>
      <c r="M92" s="5">
        <v>44458</v>
      </c>
      <c r="N92" s="4">
        <v>799.96</v>
      </c>
      <c r="O92" s="35">
        <v>2</v>
      </c>
      <c r="P92" s="51">
        <f t="shared" ca="1" si="4"/>
        <v>46105.940228703701</v>
      </c>
      <c r="Q92" s="52">
        <f t="shared" si="5"/>
        <v>4309.8099999999995</v>
      </c>
      <c r="R92" s="35">
        <f t="shared" si="6"/>
        <v>15</v>
      </c>
      <c r="S92" s="52" t="str">
        <f t="shared" si="7"/>
        <v>KB</v>
      </c>
    </row>
    <row r="93" spans="1:19" ht="15.75" customHeight="1" x14ac:dyDescent="0.3">
      <c r="A93" s="4" t="s">
        <v>222</v>
      </c>
      <c r="B93" s="5">
        <v>45519</v>
      </c>
      <c r="C93" s="4" t="s">
        <v>160</v>
      </c>
      <c r="D93" s="4" t="s">
        <v>161</v>
      </c>
      <c r="E93" s="4" t="s">
        <v>128</v>
      </c>
      <c r="F93" s="4" t="s">
        <v>129</v>
      </c>
      <c r="G93" s="4" t="s">
        <v>48</v>
      </c>
      <c r="H93" s="4">
        <v>5</v>
      </c>
      <c r="I93" s="4">
        <v>199.99</v>
      </c>
      <c r="J93" s="4" t="s">
        <v>22</v>
      </c>
      <c r="K93" s="4" t="s">
        <v>42</v>
      </c>
      <c r="L93" s="4" t="s">
        <v>29</v>
      </c>
      <c r="M93" s="5">
        <v>44991</v>
      </c>
      <c r="N93" s="4">
        <v>999.95</v>
      </c>
      <c r="O93" s="35">
        <v>1</v>
      </c>
      <c r="P93" s="51">
        <f t="shared" ca="1" si="4"/>
        <v>46105.940228703701</v>
      </c>
      <c r="Q93" s="52">
        <f t="shared" si="5"/>
        <v>5649.84</v>
      </c>
      <c r="R93" s="35">
        <f t="shared" si="6"/>
        <v>15</v>
      </c>
      <c r="S93" s="52" t="str">
        <f t="shared" si="7"/>
        <v>BC</v>
      </c>
    </row>
    <row r="94" spans="1:19" ht="15.75" customHeight="1" x14ac:dyDescent="0.3">
      <c r="A94" s="4" t="s">
        <v>223</v>
      </c>
      <c r="B94" s="5">
        <v>45522</v>
      </c>
      <c r="C94" s="4" t="s">
        <v>88</v>
      </c>
      <c r="D94" s="4" t="s">
        <v>89</v>
      </c>
      <c r="E94" s="4" t="s">
        <v>119</v>
      </c>
      <c r="F94" s="4" t="s">
        <v>120</v>
      </c>
      <c r="G94" s="4" t="s">
        <v>21</v>
      </c>
      <c r="H94" s="4">
        <v>2</v>
      </c>
      <c r="I94" s="4">
        <v>89.99</v>
      </c>
      <c r="J94" s="4" t="s">
        <v>22</v>
      </c>
      <c r="K94" s="4" t="s">
        <v>65</v>
      </c>
      <c r="L94" s="4" t="s">
        <v>29</v>
      </c>
      <c r="M94" s="5">
        <v>44972</v>
      </c>
      <c r="N94" s="4">
        <v>179.98</v>
      </c>
      <c r="O94" s="35">
        <v>1</v>
      </c>
      <c r="P94" s="51">
        <f t="shared" ca="1" si="4"/>
        <v>46105.940228703701</v>
      </c>
      <c r="Q94" s="52">
        <f t="shared" si="5"/>
        <v>15659.65</v>
      </c>
      <c r="R94" s="35">
        <f t="shared" si="6"/>
        <v>34</v>
      </c>
      <c r="S94" s="52" t="str">
        <f t="shared" si="7"/>
        <v>MC</v>
      </c>
    </row>
    <row r="95" spans="1:19" ht="15.75" customHeight="1" x14ac:dyDescent="0.3">
      <c r="A95" s="4" t="s">
        <v>224</v>
      </c>
      <c r="B95" s="5">
        <v>45523</v>
      </c>
      <c r="C95" s="4" t="s">
        <v>198</v>
      </c>
      <c r="D95" s="4" t="s">
        <v>199</v>
      </c>
      <c r="E95" s="4" t="s">
        <v>63</v>
      </c>
      <c r="F95" s="4" t="s">
        <v>64</v>
      </c>
      <c r="G95" s="4" t="s">
        <v>21</v>
      </c>
      <c r="H95" s="4">
        <v>5</v>
      </c>
      <c r="I95" s="4">
        <v>899.99</v>
      </c>
      <c r="J95" s="4" t="s">
        <v>59</v>
      </c>
      <c r="K95" s="4" t="s">
        <v>65</v>
      </c>
      <c r="L95" s="4" t="s">
        <v>24</v>
      </c>
      <c r="M95" s="5">
        <v>44526</v>
      </c>
      <c r="N95" s="4">
        <v>4499.95</v>
      </c>
      <c r="O95" s="35">
        <v>2</v>
      </c>
      <c r="P95" s="51">
        <f t="shared" ca="1" si="4"/>
        <v>46105.940228703701</v>
      </c>
      <c r="Q95" s="52">
        <f t="shared" si="5"/>
        <v>6379.87</v>
      </c>
      <c r="R95" s="35">
        <f t="shared" si="6"/>
        <v>24</v>
      </c>
      <c r="S95" s="52" t="str">
        <f t="shared" si="7"/>
        <v>GM</v>
      </c>
    </row>
    <row r="96" spans="1:19" ht="15.75" customHeight="1" x14ac:dyDescent="0.3">
      <c r="A96" s="4" t="s">
        <v>225</v>
      </c>
      <c r="B96" s="5">
        <v>45523</v>
      </c>
      <c r="C96" s="4" t="s">
        <v>110</v>
      </c>
      <c r="D96" s="4" t="s">
        <v>111</v>
      </c>
      <c r="E96" s="4" t="s">
        <v>54</v>
      </c>
      <c r="F96" s="4" t="s">
        <v>55</v>
      </c>
      <c r="G96" s="4" t="s">
        <v>21</v>
      </c>
      <c r="H96" s="4">
        <v>3</v>
      </c>
      <c r="I96" s="4">
        <v>149.99</v>
      </c>
      <c r="J96" s="4" t="s">
        <v>36</v>
      </c>
      <c r="K96" s="4" t="s">
        <v>65</v>
      </c>
      <c r="L96" s="4" t="s">
        <v>24</v>
      </c>
      <c r="M96" s="5">
        <v>44574</v>
      </c>
      <c r="N96" s="4">
        <v>449.97</v>
      </c>
      <c r="O96" s="35">
        <v>2</v>
      </c>
      <c r="P96" s="51">
        <f t="shared" ca="1" si="4"/>
        <v>46105.940228703701</v>
      </c>
      <c r="Q96" s="52">
        <f t="shared" si="5"/>
        <v>4189.7700000000004</v>
      </c>
      <c r="R96" s="35">
        <f t="shared" si="6"/>
        <v>16</v>
      </c>
      <c r="S96" s="52" t="str">
        <f t="shared" si="7"/>
        <v>NC</v>
      </c>
    </row>
    <row r="97" spans="1:19" ht="15.75" customHeight="1" x14ac:dyDescent="0.3">
      <c r="A97" s="4" t="s">
        <v>226</v>
      </c>
      <c r="B97" s="5">
        <v>45526</v>
      </c>
      <c r="C97" s="4" t="s">
        <v>104</v>
      </c>
      <c r="D97" s="4" t="s">
        <v>105</v>
      </c>
      <c r="E97" s="4" t="s">
        <v>46</v>
      </c>
      <c r="F97" s="4" t="s">
        <v>47</v>
      </c>
      <c r="G97" s="4" t="s">
        <v>48</v>
      </c>
      <c r="H97" s="4">
        <v>5</v>
      </c>
      <c r="I97" s="4">
        <v>149.99</v>
      </c>
      <c r="J97" s="4" t="s">
        <v>28</v>
      </c>
      <c r="K97" s="4" t="s">
        <v>23</v>
      </c>
      <c r="L97" s="4" t="s">
        <v>24</v>
      </c>
      <c r="M97" s="5">
        <v>45310</v>
      </c>
      <c r="N97" s="4">
        <v>749.95</v>
      </c>
      <c r="O97" s="35">
        <v>0</v>
      </c>
      <c r="P97" s="51">
        <f t="shared" ca="1" si="4"/>
        <v>46105.940228703701</v>
      </c>
      <c r="Q97" s="52">
        <f t="shared" si="5"/>
        <v>3769.8300000000004</v>
      </c>
      <c r="R97" s="35">
        <f t="shared" si="6"/>
        <v>35</v>
      </c>
      <c r="S97" s="52" t="str">
        <f t="shared" si="7"/>
        <v>CP</v>
      </c>
    </row>
    <row r="98" spans="1:19" ht="15.75" customHeight="1" x14ac:dyDescent="0.3">
      <c r="A98" s="4" t="s">
        <v>227</v>
      </c>
      <c r="B98" s="5">
        <v>45528</v>
      </c>
      <c r="C98" s="4" t="s">
        <v>228</v>
      </c>
      <c r="D98" s="4" t="s">
        <v>229</v>
      </c>
      <c r="E98" s="4" t="s">
        <v>116</v>
      </c>
      <c r="F98" s="4" t="s">
        <v>117</v>
      </c>
      <c r="G98" s="4" t="s">
        <v>35</v>
      </c>
      <c r="H98" s="4">
        <v>3</v>
      </c>
      <c r="I98" s="4">
        <v>79.989999999999995</v>
      </c>
      <c r="J98" s="4" t="s">
        <v>22</v>
      </c>
      <c r="K98" s="4" t="s">
        <v>23</v>
      </c>
      <c r="L98" s="4" t="s">
        <v>29</v>
      </c>
      <c r="M98" s="5">
        <v>44779</v>
      </c>
      <c r="N98" s="4">
        <v>239.97</v>
      </c>
      <c r="O98" s="35">
        <v>2</v>
      </c>
      <c r="P98" s="51">
        <f t="shared" ca="1" si="4"/>
        <v>46105.940228703701</v>
      </c>
      <c r="Q98" s="52">
        <f t="shared" si="5"/>
        <v>6989.7699999999986</v>
      </c>
      <c r="R98" s="35">
        <f t="shared" si="6"/>
        <v>14</v>
      </c>
      <c r="S98" s="52" t="str">
        <f t="shared" si="7"/>
        <v>LR</v>
      </c>
    </row>
    <row r="99" spans="1:19" ht="15.75" customHeight="1" x14ac:dyDescent="0.3">
      <c r="A99" s="4" t="s">
        <v>230</v>
      </c>
      <c r="B99" s="5">
        <v>45528</v>
      </c>
      <c r="C99" s="4" t="s">
        <v>146</v>
      </c>
      <c r="D99" s="4" t="s">
        <v>147</v>
      </c>
      <c r="E99" s="4" t="s">
        <v>19</v>
      </c>
      <c r="F99" s="4" t="s">
        <v>20</v>
      </c>
      <c r="G99" s="4" t="s">
        <v>21</v>
      </c>
      <c r="H99" s="4">
        <v>2</v>
      </c>
      <c r="I99" s="4">
        <v>249.99</v>
      </c>
      <c r="J99" s="4" t="s">
        <v>22</v>
      </c>
      <c r="K99" s="4" t="s">
        <v>37</v>
      </c>
      <c r="L99" s="4" t="s">
        <v>38</v>
      </c>
      <c r="M99" s="5">
        <v>44572</v>
      </c>
      <c r="N99" s="4">
        <v>499.98</v>
      </c>
      <c r="O99" s="35">
        <v>2</v>
      </c>
      <c r="P99" s="51">
        <f t="shared" ca="1" si="4"/>
        <v>46105.940228703701</v>
      </c>
      <c r="Q99" s="52">
        <f t="shared" si="5"/>
        <v>5519.8899999999994</v>
      </c>
      <c r="R99" s="35">
        <f t="shared" si="6"/>
        <v>26</v>
      </c>
      <c r="S99" s="52" t="str">
        <f t="shared" si="7"/>
        <v>HM</v>
      </c>
    </row>
    <row r="100" spans="1:19" ht="15.75" customHeight="1" x14ac:dyDescent="0.3">
      <c r="A100" s="4" t="s">
        <v>231</v>
      </c>
      <c r="B100" s="5">
        <v>45532</v>
      </c>
      <c r="C100" s="4" t="s">
        <v>198</v>
      </c>
      <c r="D100" s="4" t="s">
        <v>199</v>
      </c>
      <c r="E100" s="4" t="s">
        <v>82</v>
      </c>
      <c r="F100" s="4" t="s">
        <v>83</v>
      </c>
      <c r="G100" s="4" t="s">
        <v>21</v>
      </c>
      <c r="H100" s="4">
        <v>1</v>
      </c>
      <c r="I100" s="4">
        <v>699.99</v>
      </c>
      <c r="J100" s="4" t="s">
        <v>22</v>
      </c>
      <c r="K100" s="4" t="s">
        <v>23</v>
      </c>
      <c r="L100" s="4" t="s">
        <v>29</v>
      </c>
      <c r="M100" s="5">
        <v>44497</v>
      </c>
      <c r="N100" s="4">
        <v>699.99</v>
      </c>
      <c r="O100" s="35">
        <v>2</v>
      </c>
      <c r="P100" s="51">
        <f t="shared" ca="1" si="4"/>
        <v>46105.940228703701</v>
      </c>
      <c r="Q100" s="52">
        <f t="shared" si="5"/>
        <v>6379.87</v>
      </c>
      <c r="R100" s="35">
        <f t="shared" si="6"/>
        <v>31</v>
      </c>
      <c r="S100" s="52" t="str">
        <f t="shared" si="7"/>
        <v>GM</v>
      </c>
    </row>
    <row r="101" spans="1:19" ht="15.75" customHeight="1" x14ac:dyDescent="0.3">
      <c r="A101" s="4" t="s">
        <v>232</v>
      </c>
      <c r="B101" s="5">
        <v>45532</v>
      </c>
      <c r="C101" s="4" t="s">
        <v>233</v>
      </c>
      <c r="D101" s="4" t="s">
        <v>234</v>
      </c>
      <c r="E101" s="4" t="s">
        <v>54</v>
      </c>
      <c r="F101" s="4" t="s">
        <v>55</v>
      </c>
      <c r="G101" s="4" t="s">
        <v>21</v>
      </c>
      <c r="H101" s="4">
        <v>3</v>
      </c>
      <c r="I101" s="4">
        <v>149.99</v>
      </c>
      <c r="J101" s="4" t="s">
        <v>22</v>
      </c>
      <c r="K101" s="4" t="s">
        <v>52</v>
      </c>
      <c r="L101" s="4" t="s">
        <v>29</v>
      </c>
      <c r="M101" s="5">
        <v>45212</v>
      </c>
      <c r="N101" s="4">
        <v>449.97</v>
      </c>
      <c r="O101" s="35">
        <v>0</v>
      </c>
      <c r="P101" s="51">
        <f t="shared" ca="1" si="4"/>
        <v>46105.940228703701</v>
      </c>
      <c r="Q101" s="52">
        <f t="shared" si="5"/>
        <v>1149.93</v>
      </c>
      <c r="R101" s="35">
        <f t="shared" si="6"/>
        <v>16</v>
      </c>
      <c r="S101" s="52" t="str">
        <f t="shared" si="7"/>
        <v>CE</v>
      </c>
    </row>
    <row r="102" spans="1:19" ht="15.75" customHeight="1" x14ac:dyDescent="0.3">
      <c r="A102" s="4" t="s">
        <v>235</v>
      </c>
      <c r="B102" s="5">
        <v>45534</v>
      </c>
      <c r="C102" s="4" t="s">
        <v>236</v>
      </c>
      <c r="D102" s="4" t="s">
        <v>237</v>
      </c>
      <c r="E102" s="4" t="s">
        <v>82</v>
      </c>
      <c r="F102" s="4" t="s">
        <v>83</v>
      </c>
      <c r="G102" s="4" t="s">
        <v>21</v>
      </c>
      <c r="H102" s="4">
        <v>2</v>
      </c>
      <c r="I102" s="4">
        <v>699.99</v>
      </c>
      <c r="J102" s="4" t="s">
        <v>28</v>
      </c>
      <c r="K102" s="4" t="s">
        <v>42</v>
      </c>
      <c r="L102" s="4" t="s">
        <v>29</v>
      </c>
      <c r="M102" s="5">
        <v>44421</v>
      </c>
      <c r="N102" s="4">
        <v>1399.98</v>
      </c>
      <c r="O102" s="35">
        <v>3</v>
      </c>
      <c r="P102" s="51">
        <f t="shared" ca="1" si="4"/>
        <v>46105.940228703701</v>
      </c>
      <c r="Q102" s="52">
        <f t="shared" si="5"/>
        <v>6349.83</v>
      </c>
      <c r="R102" s="35">
        <f t="shared" si="6"/>
        <v>31</v>
      </c>
      <c r="S102" s="52" t="str">
        <f t="shared" si="7"/>
        <v>SP</v>
      </c>
    </row>
    <row r="103" spans="1:19" ht="15.75" customHeight="1" x14ac:dyDescent="0.3">
      <c r="A103" s="4" t="s">
        <v>238</v>
      </c>
      <c r="B103" s="5">
        <v>45537</v>
      </c>
      <c r="C103" s="4" t="s">
        <v>233</v>
      </c>
      <c r="D103" s="4" t="s">
        <v>234</v>
      </c>
      <c r="E103" s="4" t="s">
        <v>19</v>
      </c>
      <c r="F103" s="4" t="s">
        <v>20</v>
      </c>
      <c r="G103" s="4" t="s">
        <v>21</v>
      </c>
      <c r="H103" s="4">
        <v>1</v>
      </c>
      <c r="I103" s="4">
        <v>249.99</v>
      </c>
      <c r="J103" s="4" t="s">
        <v>28</v>
      </c>
      <c r="K103" s="4" t="s">
        <v>52</v>
      </c>
      <c r="L103" s="4" t="s">
        <v>29</v>
      </c>
      <c r="M103" s="5">
        <v>44685</v>
      </c>
      <c r="N103" s="4">
        <v>249.99</v>
      </c>
      <c r="O103" s="35">
        <v>2</v>
      </c>
      <c r="P103" s="51">
        <f t="shared" ca="1" si="4"/>
        <v>46105.940228703701</v>
      </c>
      <c r="Q103" s="52">
        <f t="shared" si="5"/>
        <v>1149.93</v>
      </c>
      <c r="R103" s="35">
        <f t="shared" si="6"/>
        <v>26</v>
      </c>
      <c r="S103" s="52" t="str">
        <f t="shared" si="7"/>
        <v>CE</v>
      </c>
    </row>
    <row r="104" spans="1:19" ht="15.75" customHeight="1" x14ac:dyDescent="0.3">
      <c r="A104" s="4" t="s">
        <v>239</v>
      </c>
      <c r="B104" s="5">
        <v>45537</v>
      </c>
      <c r="C104" s="4" t="s">
        <v>17</v>
      </c>
      <c r="D104" s="4" t="s">
        <v>18</v>
      </c>
      <c r="E104" s="4" t="s">
        <v>19</v>
      </c>
      <c r="F104" s="4" t="s">
        <v>20</v>
      </c>
      <c r="G104" s="4" t="s">
        <v>21</v>
      </c>
      <c r="H104" s="4">
        <v>1</v>
      </c>
      <c r="I104" s="4">
        <v>249.99</v>
      </c>
      <c r="J104" s="4" t="s">
        <v>59</v>
      </c>
      <c r="K104" s="4" t="s">
        <v>42</v>
      </c>
      <c r="L104" s="4" t="s">
        <v>29</v>
      </c>
      <c r="M104" s="5">
        <v>45332</v>
      </c>
      <c r="N104" s="4">
        <v>249.99</v>
      </c>
      <c r="O104" s="35">
        <v>0</v>
      </c>
      <c r="P104" s="51">
        <f t="shared" ca="1" si="4"/>
        <v>46105.940228703701</v>
      </c>
      <c r="Q104" s="52">
        <f t="shared" si="5"/>
        <v>8309.739999999998</v>
      </c>
      <c r="R104" s="35">
        <f t="shared" si="6"/>
        <v>26</v>
      </c>
      <c r="S104" s="52" t="str">
        <f t="shared" si="7"/>
        <v>PB</v>
      </c>
    </row>
    <row r="105" spans="1:19" ht="15.75" customHeight="1" x14ac:dyDescent="0.3">
      <c r="A105" s="4" t="s">
        <v>240</v>
      </c>
      <c r="B105" s="5">
        <v>45538</v>
      </c>
      <c r="C105" s="4" t="s">
        <v>228</v>
      </c>
      <c r="D105" s="4" t="s">
        <v>229</v>
      </c>
      <c r="E105" s="4" t="s">
        <v>82</v>
      </c>
      <c r="F105" s="4" t="s">
        <v>83</v>
      </c>
      <c r="G105" s="4" t="s">
        <v>21</v>
      </c>
      <c r="H105" s="4">
        <v>2</v>
      </c>
      <c r="I105" s="4">
        <v>699.99</v>
      </c>
      <c r="J105" s="4" t="s">
        <v>59</v>
      </c>
      <c r="K105" s="4" t="s">
        <v>23</v>
      </c>
      <c r="L105" s="4" t="s">
        <v>29</v>
      </c>
      <c r="M105" s="5">
        <v>44870</v>
      </c>
      <c r="N105" s="4">
        <v>1399.98</v>
      </c>
      <c r="O105" s="35">
        <v>1</v>
      </c>
      <c r="P105" s="51">
        <f t="shared" ca="1" si="4"/>
        <v>46105.940228703701</v>
      </c>
      <c r="Q105" s="52">
        <f t="shared" si="5"/>
        <v>6989.7699999999986</v>
      </c>
      <c r="R105" s="35">
        <f t="shared" si="6"/>
        <v>31</v>
      </c>
      <c r="S105" s="52" t="str">
        <f t="shared" si="7"/>
        <v>LR</v>
      </c>
    </row>
    <row r="106" spans="1:19" ht="15.75" customHeight="1" x14ac:dyDescent="0.3">
      <c r="A106" s="4" t="s">
        <v>241</v>
      </c>
      <c r="B106" s="5">
        <v>45541</v>
      </c>
      <c r="C106" s="4" t="s">
        <v>140</v>
      </c>
      <c r="D106" s="4" t="s">
        <v>141</v>
      </c>
      <c r="E106" s="4" t="s">
        <v>33</v>
      </c>
      <c r="F106" s="4" t="s">
        <v>34</v>
      </c>
      <c r="G106" s="4" t="s">
        <v>35</v>
      </c>
      <c r="H106" s="4">
        <v>3</v>
      </c>
      <c r="I106" s="4">
        <v>59.99</v>
      </c>
      <c r="J106" s="4" t="s">
        <v>28</v>
      </c>
      <c r="K106" s="4" t="s">
        <v>23</v>
      </c>
      <c r="L106" s="4" t="s">
        <v>29</v>
      </c>
      <c r="M106" s="5">
        <v>44717</v>
      </c>
      <c r="N106" s="4">
        <v>179.97</v>
      </c>
      <c r="O106" s="35">
        <v>2</v>
      </c>
      <c r="P106" s="51">
        <f t="shared" ca="1" si="4"/>
        <v>46105.940228703701</v>
      </c>
      <c r="Q106" s="52">
        <f t="shared" si="5"/>
        <v>2649.83</v>
      </c>
      <c r="R106" s="35">
        <f t="shared" si="6"/>
        <v>29</v>
      </c>
      <c r="S106" s="52" t="str">
        <f t="shared" si="7"/>
        <v>ST</v>
      </c>
    </row>
    <row r="107" spans="1:19" ht="15.75" customHeight="1" x14ac:dyDescent="0.3">
      <c r="A107" s="4" t="s">
        <v>242</v>
      </c>
      <c r="B107" s="5">
        <v>45544</v>
      </c>
      <c r="C107" s="4" t="s">
        <v>134</v>
      </c>
      <c r="D107" s="4" t="s">
        <v>135</v>
      </c>
      <c r="E107" s="4" t="s">
        <v>33</v>
      </c>
      <c r="F107" s="4" t="s">
        <v>34</v>
      </c>
      <c r="G107" s="4" t="s">
        <v>35</v>
      </c>
      <c r="H107" s="4">
        <v>3</v>
      </c>
      <c r="I107" s="4">
        <v>59.99</v>
      </c>
      <c r="J107" s="4" t="s">
        <v>36</v>
      </c>
      <c r="K107" s="4" t="s">
        <v>65</v>
      </c>
      <c r="L107" s="4" t="s">
        <v>38</v>
      </c>
      <c r="M107" s="5">
        <v>44748</v>
      </c>
      <c r="N107" s="4">
        <v>179.97</v>
      </c>
      <c r="O107" s="35">
        <v>2</v>
      </c>
      <c r="P107" s="51">
        <f t="shared" ca="1" si="4"/>
        <v>46105.940228703701</v>
      </c>
      <c r="Q107" s="52">
        <f t="shared" si="5"/>
        <v>1229.8800000000001</v>
      </c>
      <c r="R107" s="35">
        <f t="shared" si="6"/>
        <v>29</v>
      </c>
      <c r="S107" s="52" t="str">
        <f t="shared" si="7"/>
        <v>EW</v>
      </c>
    </row>
    <row r="108" spans="1:19" ht="15.75" customHeight="1" x14ac:dyDescent="0.3">
      <c r="A108" s="4" t="s">
        <v>243</v>
      </c>
      <c r="B108" s="5">
        <v>45544</v>
      </c>
      <c r="C108" s="4" t="s">
        <v>143</v>
      </c>
      <c r="D108" s="4" t="s">
        <v>144</v>
      </c>
      <c r="E108" s="4" t="s">
        <v>116</v>
      </c>
      <c r="F108" s="4" t="s">
        <v>117</v>
      </c>
      <c r="G108" s="4" t="s">
        <v>35</v>
      </c>
      <c r="H108" s="4">
        <v>4</v>
      </c>
      <c r="I108" s="4">
        <v>79.989999999999995</v>
      </c>
      <c r="J108" s="4" t="s">
        <v>22</v>
      </c>
      <c r="K108" s="4" t="s">
        <v>42</v>
      </c>
      <c r="L108" s="4" t="s">
        <v>24</v>
      </c>
      <c r="M108" s="5">
        <v>44530</v>
      </c>
      <c r="N108" s="4">
        <v>319.95999999999998</v>
      </c>
      <c r="O108" s="35">
        <v>2</v>
      </c>
      <c r="P108" s="51">
        <f t="shared" ca="1" si="4"/>
        <v>46105.940228703701</v>
      </c>
      <c r="Q108" s="52">
        <f t="shared" si="5"/>
        <v>4739.8500000000004</v>
      </c>
      <c r="R108" s="35">
        <f t="shared" si="6"/>
        <v>14</v>
      </c>
      <c r="S108" s="52" t="str">
        <f t="shared" si="7"/>
        <v>JT</v>
      </c>
    </row>
    <row r="109" spans="1:19" ht="15.75" customHeight="1" x14ac:dyDescent="0.3">
      <c r="A109" s="4" t="s">
        <v>244</v>
      </c>
      <c r="B109" s="5">
        <v>45545</v>
      </c>
      <c r="C109" s="4" t="s">
        <v>57</v>
      </c>
      <c r="D109" s="4" t="s">
        <v>58</v>
      </c>
      <c r="E109" s="4" t="s">
        <v>116</v>
      </c>
      <c r="F109" s="4" t="s">
        <v>117</v>
      </c>
      <c r="G109" s="4" t="s">
        <v>35</v>
      </c>
      <c r="H109" s="4">
        <v>1</v>
      </c>
      <c r="I109" s="4">
        <v>79.989999999999995</v>
      </c>
      <c r="J109" s="4" t="s">
        <v>22</v>
      </c>
      <c r="K109" s="4" t="s">
        <v>52</v>
      </c>
      <c r="L109" s="4" t="s">
        <v>24</v>
      </c>
      <c r="M109" s="5">
        <v>44693</v>
      </c>
      <c r="N109" s="4">
        <v>79.989999999999995</v>
      </c>
      <c r="O109" s="35">
        <v>2</v>
      </c>
      <c r="P109" s="51">
        <f t="shared" ca="1" si="4"/>
        <v>46105.940228703701</v>
      </c>
      <c r="Q109" s="52">
        <f t="shared" si="5"/>
        <v>5089.7300000000005</v>
      </c>
      <c r="R109" s="35">
        <f t="shared" si="6"/>
        <v>14</v>
      </c>
      <c r="S109" s="52" t="str">
        <f t="shared" si="7"/>
        <v>CA</v>
      </c>
    </row>
    <row r="110" spans="1:19" ht="15.75" customHeight="1" x14ac:dyDescent="0.3">
      <c r="A110" s="4" t="s">
        <v>245</v>
      </c>
      <c r="B110" s="5">
        <v>45547</v>
      </c>
      <c r="C110" s="4" t="s">
        <v>50</v>
      </c>
      <c r="D110" s="4" t="s">
        <v>51</v>
      </c>
      <c r="E110" s="4" t="s">
        <v>107</v>
      </c>
      <c r="F110" s="4" t="s">
        <v>108</v>
      </c>
      <c r="G110" s="4" t="s">
        <v>48</v>
      </c>
      <c r="H110" s="4">
        <v>3</v>
      </c>
      <c r="I110" s="4">
        <v>299.99</v>
      </c>
      <c r="J110" s="4" t="s">
        <v>28</v>
      </c>
      <c r="K110" s="4" t="s">
        <v>23</v>
      </c>
      <c r="L110" s="4" t="s">
        <v>29</v>
      </c>
      <c r="M110" s="5">
        <v>44494</v>
      </c>
      <c r="N110" s="4">
        <v>899.97</v>
      </c>
      <c r="O110" s="35">
        <v>2</v>
      </c>
      <c r="P110" s="51">
        <f t="shared" ca="1" si="4"/>
        <v>46105.940228703701</v>
      </c>
      <c r="Q110" s="52">
        <f t="shared" si="5"/>
        <v>8269.7900000000009</v>
      </c>
      <c r="R110" s="35">
        <f t="shared" si="6"/>
        <v>26</v>
      </c>
      <c r="S110" s="52" t="str">
        <f t="shared" si="7"/>
        <v>DN</v>
      </c>
    </row>
    <row r="111" spans="1:19" ht="15.75" customHeight="1" x14ac:dyDescent="0.3">
      <c r="A111" s="4" t="s">
        <v>246</v>
      </c>
      <c r="B111" s="5">
        <v>45548</v>
      </c>
      <c r="C111" s="4" t="s">
        <v>40</v>
      </c>
      <c r="D111" s="4" t="s">
        <v>41</v>
      </c>
      <c r="E111" s="4" t="s">
        <v>119</v>
      </c>
      <c r="F111" s="4" t="s">
        <v>120</v>
      </c>
      <c r="G111" s="4" t="s">
        <v>21</v>
      </c>
      <c r="H111" s="4">
        <v>2</v>
      </c>
      <c r="I111" s="4">
        <v>89.99</v>
      </c>
      <c r="J111" s="4" t="s">
        <v>28</v>
      </c>
      <c r="K111" s="4" t="s">
        <v>37</v>
      </c>
      <c r="L111" s="4" t="s">
        <v>29</v>
      </c>
      <c r="M111" s="5">
        <v>44641</v>
      </c>
      <c r="N111" s="4">
        <v>179.98</v>
      </c>
      <c r="O111" s="35">
        <v>2</v>
      </c>
      <c r="P111" s="51">
        <f t="shared" ca="1" si="4"/>
        <v>46105.940228703701</v>
      </c>
      <c r="Q111" s="52">
        <f t="shared" si="5"/>
        <v>4309.8099999999995</v>
      </c>
      <c r="R111" s="35">
        <f t="shared" si="6"/>
        <v>34</v>
      </c>
      <c r="S111" s="52" t="str">
        <f t="shared" si="7"/>
        <v>KB</v>
      </c>
    </row>
    <row r="112" spans="1:19" ht="15.75" customHeight="1" x14ac:dyDescent="0.3">
      <c r="A112" s="4" t="s">
        <v>247</v>
      </c>
      <c r="B112" s="5">
        <v>45550</v>
      </c>
      <c r="C112" s="4" t="s">
        <v>248</v>
      </c>
      <c r="D112" s="4" t="s">
        <v>249</v>
      </c>
      <c r="E112" s="4" t="s">
        <v>54</v>
      </c>
      <c r="F112" s="4" t="s">
        <v>55</v>
      </c>
      <c r="G112" s="4" t="s">
        <v>21</v>
      </c>
      <c r="H112" s="4">
        <v>4</v>
      </c>
      <c r="I112" s="4">
        <v>149.99</v>
      </c>
      <c r="J112" s="4" t="s">
        <v>22</v>
      </c>
      <c r="K112" s="4" t="s">
        <v>42</v>
      </c>
      <c r="L112" s="4" t="s">
        <v>24</v>
      </c>
      <c r="M112" s="5">
        <v>44909</v>
      </c>
      <c r="N112" s="4">
        <v>599.96</v>
      </c>
      <c r="O112" s="35">
        <v>1</v>
      </c>
      <c r="P112" s="51">
        <f t="shared" ca="1" si="4"/>
        <v>46105.940228703701</v>
      </c>
      <c r="Q112" s="52">
        <f t="shared" si="5"/>
        <v>1749.92</v>
      </c>
      <c r="R112" s="35">
        <f t="shared" si="6"/>
        <v>16</v>
      </c>
      <c r="S112" s="52" t="str">
        <f t="shared" si="7"/>
        <v>RB</v>
      </c>
    </row>
    <row r="113" spans="1:19" ht="15.75" customHeight="1" x14ac:dyDescent="0.3">
      <c r="A113" s="4" t="s">
        <v>250</v>
      </c>
      <c r="B113" s="5">
        <v>45551</v>
      </c>
      <c r="C113" s="4" t="s">
        <v>67</v>
      </c>
      <c r="D113" s="4" t="s">
        <v>68</v>
      </c>
      <c r="E113" s="4" t="s">
        <v>19</v>
      </c>
      <c r="F113" s="4" t="s">
        <v>20</v>
      </c>
      <c r="G113" s="4" t="s">
        <v>21</v>
      </c>
      <c r="H113" s="4">
        <v>2</v>
      </c>
      <c r="I113" s="4">
        <v>249.99</v>
      </c>
      <c r="J113" s="4" t="s">
        <v>36</v>
      </c>
      <c r="K113" s="4" t="s">
        <v>37</v>
      </c>
      <c r="L113" s="4" t="s">
        <v>24</v>
      </c>
      <c r="M113" s="5">
        <v>44993</v>
      </c>
      <c r="N113" s="4">
        <v>499.98</v>
      </c>
      <c r="O113" s="35">
        <v>1</v>
      </c>
      <c r="P113" s="51">
        <f t="shared" ca="1" si="4"/>
        <v>46105.940228703701</v>
      </c>
      <c r="Q113" s="52">
        <f t="shared" si="5"/>
        <v>8009.7699999999995</v>
      </c>
      <c r="R113" s="35">
        <f t="shared" si="6"/>
        <v>26</v>
      </c>
      <c r="S113" s="52" t="str">
        <f t="shared" si="7"/>
        <v>KH</v>
      </c>
    </row>
    <row r="114" spans="1:19" ht="15.75" customHeight="1" x14ac:dyDescent="0.3">
      <c r="A114" s="4" t="s">
        <v>251</v>
      </c>
      <c r="B114" s="5">
        <v>45551</v>
      </c>
      <c r="C114" s="4" t="s">
        <v>156</v>
      </c>
      <c r="D114" s="4" t="s">
        <v>157</v>
      </c>
      <c r="E114" s="4" t="s">
        <v>128</v>
      </c>
      <c r="F114" s="4" t="s">
        <v>129</v>
      </c>
      <c r="G114" s="4" t="s">
        <v>48</v>
      </c>
      <c r="H114" s="4">
        <v>4</v>
      </c>
      <c r="I114" s="4">
        <v>199.99</v>
      </c>
      <c r="J114" s="4" t="s">
        <v>59</v>
      </c>
      <c r="K114" s="4" t="s">
        <v>65</v>
      </c>
      <c r="L114" s="4" t="s">
        <v>24</v>
      </c>
      <c r="M114" s="5">
        <v>44458</v>
      </c>
      <c r="N114" s="4">
        <v>799.96</v>
      </c>
      <c r="O114" s="35">
        <v>2</v>
      </c>
      <c r="P114" s="51">
        <f t="shared" ca="1" si="4"/>
        <v>46105.940228703701</v>
      </c>
      <c r="Q114" s="52">
        <f t="shared" si="5"/>
        <v>5499.8099999999995</v>
      </c>
      <c r="R114" s="35">
        <f t="shared" si="6"/>
        <v>15</v>
      </c>
      <c r="S114" s="52" t="str">
        <f t="shared" si="7"/>
        <v>SD</v>
      </c>
    </row>
    <row r="115" spans="1:19" ht="15.75" customHeight="1" x14ac:dyDescent="0.3">
      <c r="A115" s="4" t="s">
        <v>252</v>
      </c>
      <c r="B115" s="5">
        <v>45554</v>
      </c>
      <c r="C115" s="4" t="s">
        <v>149</v>
      </c>
      <c r="D115" s="4" t="s">
        <v>150</v>
      </c>
      <c r="E115" s="4" t="s">
        <v>119</v>
      </c>
      <c r="F115" s="4" t="s">
        <v>120</v>
      </c>
      <c r="G115" s="4" t="s">
        <v>21</v>
      </c>
      <c r="H115" s="4">
        <v>5</v>
      </c>
      <c r="I115" s="4">
        <v>89.99</v>
      </c>
      <c r="J115" s="4" t="s">
        <v>28</v>
      </c>
      <c r="K115" s="4" t="s">
        <v>65</v>
      </c>
      <c r="L115" s="4" t="s">
        <v>29</v>
      </c>
      <c r="M115" s="5">
        <v>44446</v>
      </c>
      <c r="N115" s="4">
        <v>449.95</v>
      </c>
      <c r="O115" s="35">
        <v>3</v>
      </c>
      <c r="P115" s="51">
        <f t="shared" ca="1" si="4"/>
        <v>46105.940228703701</v>
      </c>
      <c r="Q115" s="52">
        <f t="shared" si="5"/>
        <v>7309.7999999999993</v>
      </c>
      <c r="R115" s="35">
        <f t="shared" si="6"/>
        <v>34</v>
      </c>
      <c r="S115" s="52" t="str">
        <f t="shared" si="7"/>
        <v>DK</v>
      </c>
    </row>
    <row r="116" spans="1:19" ht="15.75" customHeight="1" x14ac:dyDescent="0.3">
      <c r="A116" s="4" t="s">
        <v>253</v>
      </c>
      <c r="B116" s="5">
        <v>45554</v>
      </c>
      <c r="C116" s="4" t="s">
        <v>254</v>
      </c>
      <c r="D116" s="4" t="s">
        <v>255</v>
      </c>
      <c r="E116" s="4" t="s">
        <v>54</v>
      </c>
      <c r="F116" s="4" t="s">
        <v>55</v>
      </c>
      <c r="G116" s="4" t="s">
        <v>21</v>
      </c>
      <c r="H116" s="4">
        <v>1</v>
      </c>
      <c r="I116" s="4">
        <v>149.99</v>
      </c>
      <c r="J116" s="4" t="s">
        <v>36</v>
      </c>
      <c r="K116" s="4" t="s">
        <v>65</v>
      </c>
      <c r="L116" s="4" t="s">
        <v>38</v>
      </c>
      <c r="M116" s="5">
        <v>44482</v>
      </c>
      <c r="N116" s="4">
        <v>149.99</v>
      </c>
      <c r="O116" s="35">
        <v>2</v>
      </c>
      <c r="P116" s="51">
        <f t="shared" ca="1" si="4"/>
        <v>46105.940228703701</v>
      </c>
      <c r="Q116" s="52">
        <f t="shared" si="5"/>
        <v>4749.91</v>
      </c>
      <c r="R116" s="35">
        <f t="shared" si="6"/>
        <v>16</v>
      </c>
      <c r="S116" s="52" t="str">
        <f t="shared" si="7"/>
        <v>WW</v>
      </c>
    </row>
    <row r="117" spans="1:19" ht="15.75" customHeight="1" x14ac:dyDescent="0.3">
      <c r="A117" s="4" t="s">
        <v>256</v>
      </c>
      <c r="B117" s="5">
        <v>45554</v>
      </c>
      <c r="C117" s="4" t="s">
        <v>74</v>
      </c>
      <c r="D117" s="4" t="s">
        <v>75</v>
      </c>
      <c r="E117" s="4" t="s">
        <v>82</v>
      </c>
      <c r="F117" s="4" t="s">
        <v>83</v>
      </c>
      <c r="G117" s="4" t="s">
        <v>21</v>
      </c>
      <c r="H117" s="4">
        <v>4</v>
      </c>
      <c r="I117" s="4">
        <v>699.99</v>
      </c>
      <c r="J117" s="4" t="s">
        <v>36</v>
      </c>
      <c r="K117" s="4" t="s">
        <v>37</v>
      </c>
      <c r="L117" s="4" t="s">
        <v>24</v>
      </c>
      <c r="M117" s="5">
        <v>44618</v>
      </c>
      <c r="N117" s="4">
        <v>2799.96</v>
      </c>
      <c r="O117" s="35">
        <v>2</v>
      </c>
      <c r="P117" s="51">
        <f t="shared" ca="1" si="4"/>
        <v>46105.940228703701</v>
      </c>
      <c r="Q117" s="52">
        <f t="shared" si="5"/>
        <v>5949.85</v>
      </c>
      <c r="R117" s="35">
        <f t="shared" si="6"/>
        <v>31</v>
      </c>
      <c r="S117" s="52" t="str">
        <f t="shared" si="7"/>
        <v>PR</v>
      </c>
    </row>
    <row r="118" spans="1:19" ht="15.75" customHeight="1" x14ac:dyDescent="0.3">
      <c r="A118" s="4" t="s">
        <v>257</v>
      </c>
      <c r="B118" s="5">
        <v>45559</v>
      </c>
      <c r="C118" s="4" t="s">
        <v>236</v>
      </c>
      <c r="D118" s="4" t="s">
        <v>237</v>
      </c>
      <c r="E118" s="4" t="s">
        <v>63</v>
      </c>
      <c r="F118" s="4" t="s">
        <v>64</v>
      </c>
      <c r="G118" s="4" t="s">
        <v>21</v>
      </c>
      <c r="H118" s="4">
        <v>3</v>
      </c>
      <c r="I118" s="4">
        <v>899.99</v>
      </c>
      <c r="J118" s="4" t="s">
        <v>28</v>
      </c>
      <c r="K118" s="4" t="s">
        <v>42</v>
      </c>
      <c r="L118" s="4" t="s">
        <v>38</v>
      </c>
      <c r="M118" s="5">
        <v>45157</v>
      </c>
      <c r="N118" s="4">
        <v>2699.97</v>
      </c>
      <c r="O118" s="35">
        <v>1</v>
      </c>
      <c r="P118" s="51">
        <f t="shared" ca="1" si="4"/>
        <v>46105.940228703701</v>
      </c>
      <c r="Q118" s="52">
        <f t="shared" si="5"/>
        <v>6349.83</v>
      </c>
      <c r="R118" s="35">
        <f t="shared" si="6"/>
        <v>24</v>
      </c>
      <c r="S118" s="52" t="str">
        <f t="shared" si="7"/>
        <v>SP</v>
      </c>
    </row>
    <row r="119" spans="1:19" ht="15.75" customHeight="1" x14ac:dyDescent="0.3">
      <c r="A119" s="4" t="s">
        <v>258</v>
      </c>
      <c r="B119" s="5">
        <v>45560</v>
      </c>
      <c r="C119" s="4" t="s">
        <v>114</v>
      </c>
      <c r="D119" s="4" t="s">
        <v>115</v>
      </c>
      <c r="E119" s="4" t="s">
        <v>46</v>
      </c>
      <c r="F119" s="4" t="s">
        <v>47</v>
      </c>
      <c r="G119" s="4" t="s">
        <v>48</v>
      </c>
      <c r="H119" s="4">
        <v>3</v>
      </c>
      <c r="I119" s="4">
        <v>149.99</v>
      </c>
      <c r="J119" s="4" t="s">
        <v>36</v>
      </c>
      <c r="K119" s="4" t="s">
        <v>65</v>
      </c>
      <c r="L119" s="4" t="s">
        <v>24</v>
      </c>
      <c r="M119" s="5">
        <v>44886</v>
      </c>
      <c r="N119" s="4">
        <v>449.97</v>
      </c>
      <c r="O119" s="35">
        <v>1</v>
      </c>
      <c r="P119" s="51">
        <f t="shared" ca="1" si="4"/>
        <v>46105.940228703701</v>
      </c>
      <c r="Q119" s="52">
        <f t="shared" si="5"/>
        <v>1289.9000000000001</v>
      </c>
      <c r="R119" s="35">
        <f t="shared" si="6"/>
        <v>35</v>
      </c>
      <c r="S119" s="52" t="str">
        <f t="shared" si="7"/>
        <v>LM</v>
      </c>
    </row>
    <row r="120" spans="1:19" ht="15.75" customHeight="1" x14ac:dyDescent="0.3">
      <c r="A120" s="4" t="s">
        <v>259</v>
      </c>
      <c r="B120" s="5">
        <v>45563</v>
      </c>
      <c r="C120" s="4" t="s">
        <v>101</v>
      </c>
      <c r="D120" s="4" t="s">
        <v>102</v>
      </c>
      <c r="E120" s="4" t="s">
        <v>107</v>
      </c>
      <c r="F120" s="4" t="s">
        <v>108</v>
      </c>
      <c r="G120" s="4" t="s">
        <v>48</v>
      </c>
      <c r="H120" s="4">
        <v>2</v>
      </c>
      <c r="I120" s="4">
        <v>299.99</v>
      </c>
      <c r="J120" s="4" t="s">
        <v>59</v>
      </c>
      <c r="K120" s="4" t="s">
        <v>23</v>
      </c>
      <c r="L120" s="4" t="s">
        <v>24</v>
      </c>
      <c r="M120" s="5">
        <v>44569</v>
      </c>
      <c r="N120" s="4">
        <v>599.98</v>
      </c>
      <c r="O120" s="35">
        <v>2</v>
      </c>
      <c r="P120" s="51">
        <f t="shared" ca="1" si="4"/>
        <v>46105.940228703701</v>
      </c>
      <c r="Q120" s="52">
        <f t="shared" si="5"/>
        <v>9799.73</v>
      </c>
      <c r="R120" s="35">
        <f t="shared" si="6"/>
        <v>26</v>
      </c>
      <c r="S120" s="52" t="str">
        <f t="shared" si="7"/>
        <v>PM</v>
      </c>
    </row>
    <row r="121" spans="1:19" ht="15.75" customHeight="1" x14ac:dyDescent="0.3">
      <c r="A121" s="4" t="s">
        <v>260</v>
      </c>
      <c r="B121" s="5">
        <v>45564</v>
      </c>
      <c r="C121" s="4" t="s">
        <v>261</v>
      </c>
      <c r="D121" s="4" t="s">
        <v>262</v>
      </c>
      <c r="E121" s="4" t="s">
        <v>128</v>
      </c>
      <c r="F121" s="4" t="s">
        <v>129</v>
      </c>
      <c r="G121" s="4" t="s">
        <v>48</v>
      </c>
      <c r="H121" s="4">
        <v>1</v>
      </c>
      <c r="I121" s="4">
        <v>199.99</v>
      </c>
      <c r="J121" s="4" t="s">
        <v>59</v>
      </c>
      <c r="K121" s="4" t="s">
        <v>65</v>
      </c>
      <c r="L121" s="4" t="s">
        <v>38</v>
      </c>
      <c r="M121" s="5">
        <v>44953</v>
      </c>
      <c r="N121" s="4">
        <v>199.99</v>
      </c>
      <c r="O121" s="35">
        <v>1</v>
      </c>
      <c r="P121" s="51">
        <f t="shared" ca="1" si="4"/>
        <v>46105.940228703701</v>
      </c>
      <c r="Q121" s="52">
        <f t="shared" si="5"/>
        <v>739.93000000000006</v>
      </c>
      <c r="R121" s="35">
        <f t="shared" si="6"/>
        <v>15</v>
      </c>
      <c r="S121" s="52" t="str">
        <f t="shared" si="7"/>
        <v>RL</v>
      </c>
    </row>
    <row r="122" spans="1:19" ht="15.75" customHeight="1" x14ac:dyDescent="0.3">
      <c r="A122" s="4" t="s">
        <v>263</v>
      </c>
      <c r="B122" s="5">
        <v>45566</v>
      </c>
      <c r="C122" s="4" t="s">
        <v>44</v>
      </c>
      <c r="D122" s="4" t="s">
        <v>45</v>
      </c>
      <c r="E122" s="4" t="s">
        <v>107</v>
      </c>
      <c r="F122" s="4" t="s">
        <v>108</v>
      </c>
      <c r="G122" s="4" t="s">
        <v>48</v>
      </c>
      <c r="H122" s="4">
        <v>4</v>
      </c>
      <c r="I122" s="4">
        <v>299.99</v>
      </c>
      <c r="J122" s="4" t="s">
        <v>22</v>
      </c>
      <c r="K122" s="4" t="s">
        <v>23</v>
      </c>
      <c r="L122" s="4" t="s">
        <v>29</v>
      </c>
      <c r="M122" s="5">
        <v>44460</v>
      </c>
      <c r="N122" s="4">
        <v>1199.96</v>
      </c>
      <c r="O122" s="35">
        <v>3</v>
      </c>
      <c r="P122" s="51">
        <f t="shared" ca="1" si="4"/>
        <v>46105.940228703701</v>
      </c>
      <c r="Q122" s="52">
        <f t="shared" si="5"/>
        <v>6169.7400000000007</v>
      </c>
      <c r="R122" s="35">
        <f t="shared" si="6"/>
        <v>26</v>
      </c>
      <c r="S122" s="52" t="str">
        <f t="shared" si="7"/>
        <v>MB</v>
      </c>
    </row>
    <row r="123" spans="1:19" ht="15.75" customHeight="1" x14ac:dyDescent="0.3">
      <c r="A123" s="4" t="s">
        <v>264</v>
      </c>
      <c r="B123" s="5">
        <v>45572</v>
      </c>
      <c r="C123" s="4" t="s">
        <v>91</v>
      </c>
      <c r="D123" s="4" t="s">
        <v>92</v>
      </c>
      <c r="E123" s="4" t="s">
        <v>33</v>
      </c>
      <c r="F123" s="4" t="s">
        <v>34</v>
      </c>
      <c r="G123" s="4" t="s">
        <v>35</v>
      </c>
      <c r="H123" s="4">
        <v>2</v>
      </c>
      <c r="I123" s="4">
        <v>59.99</v>
      </c>
      <c r="J123" s="4" t="s">
        <v>28</v>
      </c>
      <c r="K123" s="4" t="s">
        <v>23</v>
      </c>
      <c r="L123" s="4" t="s">
        <v>24</v>
      </c>
      <c r="M123" s="5">
        <v>44579</v>
      </c>
      <c r="N123" s="4">
        <v>119.98</v>
      </c>
      <c r="O123" s="35">
        <v>2</v>
      </c>
      <c r="P123" s="51">
        <f t="shared" ca="1" si="4"/>
        <v>46105.940228703701</v>
      </c>
      <c r="Q123" s="52">
        <f t="shared" si="5"/>
        <v>1909.93</v>
      </c>
      <c r="R123" s="35">
        <f t="shared" si="6"/>
        <v>29</v>
      </c>
      <c r="S123" s="52" t="str">
        <f t="shared" si="7"/>
        <v>MG</v>
      </c>
    </row>
    <row r="124" spans="1:19" ht="15.75" customHeight="1" x14ac:dyDescent="0.3">
      <c r="A124" s="4" t="s">
        <v>265</v>
      </c>
      <c r="B124" s="5">
        <v>45572</v>
      </c>
      <c r="C124" s="4" t="s">
        <v>236</v>
      </c>
      <c r="D124" s="4" t="s">
        <v>237</v>
      </c>
      <c r="E124" s="4" t="s">
        <v>54</v>
      </c>
      <c r="F124" s="4" t="s">
        <v>55</v>
      </c>
      <c r="G124" s="4" t="s">
        <v>21</v>
      </c>
      <c r="H124" s="4">
        <v>4</v>
      </c>
      <c r="I124" s="4">
        <v>149.99</v>
      </c>
      <c r="J124" s="4" t="s">
        <v>28</v>
      </c>
      <c r="K124" s="4" t="s">
        <v>42</v>
      </c>
      <c r="L124" s="4" t="s">
        <v>29</v>
      </c>
      <c r="M124" s="5">
        <v>45076</v>
      </c>
      <c r="N124" s="4">
        <v>599.96</v>
      </c>
      <c r="O124" s="35">
        <v>1</v>
      </c>
      <c r="P124" s="51">
        <f t="shared" ca="1" si="4"/>
        <v>46105.940228703701</v>
      </c>
      <c r="Q124" s="52">
        <f t="shared" si="5"/>
        <v>6349.83</v>
      </c>
      <c r="R124" s="35">
        <f t="shared" si="6"/>
        <v>16</v>
      </c>
      <c r="S124" s="52" t="str">
        <f t="shared" si="7"/>
        <v>SP</v>
      </c>
    </row>
    <row r="125" spans="1:19" ht="15.75" customHeight="1" x14ac:dyDescent="0.3">
      <c r="A125" s="4" t="s">
        <v>266</v>
      </c>
      <c r="B125" s="5">
        <v>45573</v>
      </c>
      <c r="C125" s="4" t="s">
        <v>213</v>
      </c>
      <c r="D125" s="4" t="s">
        <v>214</v>
      </c>
      <c r="E125" s="4" t="s">
        <v>82</v>
      </c>
      <c r="F125" s="4" t="s">
        <v>83</v>
      </c>
      <c r="G125" s="4" t="s">
        <v>21</v>
      </c>
      <c r="H125" s="4">
        <v>2</v>
      </c>
      <c r="I125" s="4">
        <v>699.99</v>
      </c>
      <c r="J125" s="4" t="s">
        <v>59</v>
      </c>
      <c r="K125" s="4" t="s">
        <v>65</v>
      </c>
      <c r="L125" s="4" t="s">
        <v>29</v>
      </c>
      <c r="M125" s="5">
        <v>45274</v>
      </c>
      <c r="N125" s="4">
        <v>1399.98</v>
      </c>
      <c r="O125" s="35">
        <v>0</v>
      </c>
      <c r="P125" s="51">
        <f t="shared" ca="1" si="4"/>
        <v>46105.940228703701</v>
      </c>
      <c r="Q125" s="52">
        <f t="shared" si="5"/>
        <v>3649.8599999999997</v>
      </c>
      <c r="R125" s="35">
        <f t="shared" si="6"/>
        <v>31</v>
      </c>
      <c r="S125" s="52" t="str">
        <f t="shared" si="7"/>
        <v>EH</v>
      </c>
    </row>
    <row r="126" spans="1:19" ht="15.75" customHeight="1" x14ac:dyDescent="0.3">
      <c r="A126" s="4" t="s">
        <v>267</v>
      </c>
      <c r="B126" s="5">
        <v>45573</v>
      </c>
      <c r="C126" s="4" t="s">
        <v>233</v>
      </c>
      <c r="D126" s="4" t="s">
        <v>234</v>
      </c>
      <c r="E126" s="4" t="s">
        <v>46</v>
      </c>
      <c r="F126" s="4" t="s">
        <v>47</v>
      </c>
      <c r="G126" s="4" t="s">
        <v>48</v>
      </c>
      <c r="H126" s="4">
        <v>3</v>
      </c>
      <c r="I126" s="4">
        <v>149.99</v>
      </c>
      <c r="J126" s="4" t="s">
        <v>28</v>
      </c>
      <c r="K126" s="4" t="s">
        <v>37</v>
      </c>
      <c r="L126" s="4" t="s">
        <v>38</v>
      </c>
      <c r="M126" s="5">
        <v>44940</v>
      </c>
      <c r="N126" s="4">
        <v>449.97</v>
      </c>
      <c r="O126" s="35">
        <v>1</v>
      </c>
      <c r="P126" s="51">
        <f t="shared" ca="1" si="4"/>
        <v>46105.940228703701</v>
      </c>
      <c r="Q126" s="52">
        <f t="shared" si="5"/>
        <v>1149.93</v>
      </c>
      <c r="R126" s="35">
        <f t="shared" si="6"/>
        <v>35</v>
      </c>
      <c r="S126" s="52" t="str">
        <f t="shared" si="7"/>
        <v>CE</v>
      </c>
    </row>
    <row r="127" spans="1:19" ht="15.75" customHeight="1" x14ac:dyDescent="0.3">
      <c r="A127" s="4" t="s">
        <v>268</v>
      </c>
      <c r="B127" s="5">
        <v>45576</v>
      </c>
      <c r="C127" s="4" t="s">
        <v>149</v>
      </c>
      <c r="D127" s="4" t="s">
        <v>150</v>
      </c>
      <c r="E127" s="4" t="s">
        <v>107</v>
      </c>
      <c r="F127" s="4" t="s">
        <v>108</v>
      </c>
      <c r="G127" s="4" t="s">
        <v>48</v>
      </c>
      <c r="H127" s="4">
        <v>3</v>
      </c>
      <c r="I127" s="4">
        <v>299.99</v>
      </c>
      <c r="J127" s="4" t="s">
        <v>28</v>
      </c>
      <c r="K127" s="4" t="s">
        <v>23</v>
      </c>
      <c r="L127" s="4" t="s">
        <v>38</v>
      </c>
      <c r="M127" s="5">
        <v>45174</v>
      </c>
      <c r="N127" s="4">
        <v>899.97</v>
      </c>
      <c r="O127" s="35">
        <v>1</v>
      </c>
      <c r="P127" s="51">
        <f t="shared" ca="1" si="4"/>
        <v>46105.940228703701</v>
      </c>
      <c r="Q127" s="52">
        <f t="shared" si="5"/>
        <v>7309.7999999999993</v>
      </c>
      <c r="R127" s="35">
        <f t="shared" si="6"/>
        <v>26</v>
      </c>
      <c r="S127" s="52" t="str">
        <f t="shared" si="7"/>
        <v>DK</v>
      </c>
    </row>
    <row r="128" spans="1:19" ht="15.75" customHeight="1" x14ac:dyDescent="0.3">
      <c r="A128" s="4" t="s">
        <v>269</v>
      </c>
      <c r="B128" s="5">
        <v>45579</v>
      </c>
      <c r="C128" s="4" t="s">
        <v>85</v>
      </c>
      <c r="D128" s="4" t="s">
        <v>86</v>
      </c>
      <c r="E128" s="4" t="s">
        <v>63</v>
      </c>
      <c r="F128" s="4" t="s">
        <v>64</v>
      </c>
      <c r="G128" s="4" t="s">
        <v>21</v>
      </c>
      <c r="H128" s="4">
        <v>3</v>
      </c>
      <c r="I128" s="4">
        <v>899.99</v>
      </c>
      <c r="J128" s="4" t="s">
        <v>36</v>
      </c>
      <c r="K128" s="4" t="s">
        <v>52</v>
      </c>
      <c r="L128" s="4" t="s">
        <v>24</v>
      </c>
      <c r="M128" s="5">
        <v>45215</v>
      </c>
      <c r="N128" s="4">
        <v>2699.97</v>
      </c>
      <c r="O128" s="35">
        <v>0</v>
      </c>
      <c r="P128" s="51">
        <f t="shared" ca="1" si="4"/>
        <v>46105.940228703701</v>
      </c>
      <c r="Q128" s="52">
        <f t="shared" si="5"/>
        <v>3779.93</v>
      </c>
      <c r="R128" s="35">
        <f t="shared" si="6"/>
        <v>24</v>
      </c>
      <c r="S128" s="52" t="str">
        <f t="shared" si="7"/>
        <v>GA</v>
      </c>
    </row>
    <row r="129" spans="1:19" ht="15.75" customHeight="1" x14ac:dyDescent="0.3">
      <c r="A129" s="4" t="s">
        <v>270</v>
      </c>
      <c r="B129" s="5">
        <v>45581</v>
      </c>
      <c r="C129" s="4" t="s">
        <v>98</v>
      </c>
      <c r="D129" s="4" t="s">
        <v>99</v>
      </c>
      <c r="E129" s="4" t="s">
        <v>82</v>
      </c>
      <c r="F129" s="4" t="s">
        <v>83</v>
      </c>
      <c r="G129" s="4" t="s">
        <v>21</v>
      </c>
      <c r="H129" s="4">
        <v>5</v>
      </c>
      <c r="I129" s="4">
        <v>699.99</v>
      </c>
      <c r="J129" s="4" t="s">
        <v>22</v>
      </c>
      <c r="K129" s="4" t="s">
        <v>65</v>
      </c>
      <c r="L129" s="4" t="s">
        <v>38</v>
      </c>
      <c r="M129" s="5">
        <v>45008</v>
      </c>
      <c r="N129" s="4">
        <v>3499.95</v>
      </c>
      <c r="O129" s="35">
        <v>1</v>
      </c>
      <c r="P129" s="51">
        <f t="shared" ca="1" si="4"/>
        <v>46105.940228703701</v>
      </c>
      <c r="Q129" s="52">
        <f t="shared" si="5"/>
        <v>10649.8</v>
      </c>
      <c r="R129" s="35">
        <f t="shared" si="6"/>
        <v>31</v>
      </c>
      <c r="S129" s="52" t="str">
        <f t="shared" si="7"/>
        <v>BY</v>
      </c>
    </row>
    <row r="130" spans="1:19" ht="15.75" customHeight="1" x14ac:dyDescent="0.3">
      <c r="A130" s="4" t="s">
        <v>271</v>
      </c>
      <c r="B130" s="5">
        <v>45581</v>
      </c>
      <c r="C130" s="4" t="s">
        <v>173</v>
      </c>
      <c r="D130" s="4" t="s">
        <v>174</v>
      </c>
      <c r="E130" s="4" t="s">
        <v>82</v>
      </c>
      <c r="F130" s="4" t="s">
        <v>83</v>
      </c>
      <c r="G130" s="4" t="s">
        <v>21</v>
      </c>
      <c r="H130" s="4">
        <v>4</v>
      </c>
      <c r="I130" s="4">
        <v>699.99</v>
      </c>
      <c r="J130" s="4" t="s">
        <v>28</v>
      </c>
      <c r="K130" s="4" t="s">
        <v>23</v>
      </c>
      <c r="L130" s="4" t="s">
        <v>24</v>
      </c>
      <c r="M130" s="5">
        <v>45385</v>
      </c>
      <c r="N130" s="4">
        <v>2799.96</v>
      </c>
      <c r="O130" s="35">
        <v>0</v>
      </c>
      <c r="P130" s="51">
        <f t="shared" ca="1" si="4"/>
        <v>46105.940228703701</v>
      </c>
      <c r="Q130" s="52">
        <f t="shared" si="5"/>
        <v>3669.8500000000004</v>
      </c>
      <c r="R130" s="35">
        <f t="shared" si="6"/>
        <v>31</v>
      </c>
      <c r="S130" s="52" t="str">
        <f t="shared" si="7"/>
        <v>RR</v>
      </c>
    </row>
    <row r="131" spans="1:19" ht="15.75" customHeight="1" x14ac:dyDescent="0.3">
      <c r="A131" s="4" t="s">
        <v>272</v>
      </c>
      <c r="B131" s="5">
        <v>45581</v>
      </c>
      <c r="C131" s="4" t="s">
        <v>152</v>
      </c>
      <c r="D131" s="4" t="s">
        <v>153</v>
      </c>
      <c r="E131" s="4" t="s">
        <v>63</v>
      </c>
      <c r="F131" s="4" t="s">
        <v>64</v>
      </c>
      <c r="G131" s="4" t="s">
        <v>21</v>
      </c>
      <c r="H131" s="4">
        <v>1</v>
      </c>
      <c r="I131" s="4">
        <v>899.99</v>
      </c>
      <c r="J131" s="4" t="s">
        <v>28</v>
      </c>
      <c r="K131" s="4" t="s">
        <v>65</v>
      </c>
      <c r="L131" s="4" t="s">
        <v>38</v>
      </c>
      <c r="M131" s="5">
        <v>45369</v>
      </c>
      <c r="N131" s="4">
        <v>899.99</v>
      </c>
      <c r="O131" s="35">
        <v>0</v>
      </c>
      <c r="P131" s="51">
        <f t="shared" ref="P131:P194" ca="1" si="8">IF(A131&lt;&gt;"", IF(P131="", NOW(), P131), "")</f>
        <v>46105.940228703701</v>
      </c>
      <c r="Q131" s="52">
        <f t="shared" ref="Q131:Q194" si="9">SUMIFS(N:N, C:C, C131)</f>
        <v>5619.869999999999</v>
      </c>
      <c r="R131" s="35">
        <f t="shared" ref="R131:R194" si="10">COUNTIF($F:$F,F131)</f>
        <v>24</v>
      </c>
      <c r="S131" s="52" t="str">
        <f t="shared" ref="S131:S194" si="11">LEFT(D131,1) &amp; MID(D131,FIND(" ",D131)+1,1)</f>
        <v>SB</v>
      </c>
    </row>
    <row r="132" spans="1:19" ht="15.75" customHeight="1" x14ac:dyDescent="0.3">
      <c r="A132" s="4" t="s">
        <v>273</v>
      </c>
      <c r="B132" s="5">
        <v>45583</v>
      </c>
      <c r="C132" s="4" t="s">
        <v>228</v>
      </c>
      <c r="D132" s="4" t="s">
        <v>229</v>
      </c>
      <c r="E132" s="4" t="s">
        <v>54</v>
      </c>
      <c r="F132" s="4" t="s">
        <v>55</v>
      </c>
      <c r="G132" s="4" t="s">
        <v>21</v>
      </c>
      <c r="H132" s="4">
        <v>2</v>
      </c>
      <c r="I132" s="4">
        <v>149.99</v>
      </c>
      <c r="J132" s="4" t="s">
        <v>28</v>
      </c>
      <c r="K132" s="4" t="s">
        <v>52</v>
      </c>
      <c r="L132" s="4" t="s">
        <v>24</v>
      </c>
      <c r="M132" s="5">
        <v>44916</v>
      </c>
      <c r="N132" s="4">
        <v>299.98</v>
      </c>
      <c r="O132" s="35">
        <v>1</v>
      </c>
      <c r="P132" s="51">
        <f t="shared" ca="1" si="8"/>
        <v>46105.940228703701</v>
      </c>
      <c r="Q132" s="52">
        <f t="shared" si="9"/>
        <v>6989.7699999999986</v>
      </c>
      <c r="R132" s="35">
        <f t="shared" si="10"/>
        <v>16</v>
      </c>
      <c r="S132" s="52" t="str">
        <f t="shared" si="11"/>
        <v>LR</v>
      </c>
    </row>
    <row r="133" spans="1:19" ht="15.75" customHeight="1" x14ac:dyDescent="0.3">
      <c r="A133" s="4" t="s">
        <v>274</v>
      </c>
      <c r="B133" s="5">
        <v>45586</v>
      </c>
      <c r="C133" s="4" t="s">
        <v>228</v>
      </c>
      <c r="D133" s="4" t="s">
        <v>229</v>
      </c>
      <c r="E133" s="4" t="s">
        <v>119</v>
      </c>
      <c r="F133" s="4" t="s">
        <v>120</v>
      </c>
      <c r="G133" s="4" t="s">
        <v>21</v>
      </c>
      <c r="H133" s="4">
        <v>3</v>
      </c>
      <c r="I133" s="4">
        <v>89.99</v>
      </c>
      <c r="J133" s="4" t="s">
        <v>36</v>
      </c>
      <c r="K133" s="4" t="s">
        <v>23</v>
      </c>
      <c r="L133" s="4" t="s">
        <v>24</v>
      </c>
      <c r="M133" s="5">
        <v>44551</v>
      </c>
      <c r="N133" s="4">
        <v>269.97000000000003</v>
      </c>
      <c r="O133" s="35">
        <v>2</v>
      </c>
      <c r="P133" s="51">
        <f t="shared" ca="1" si="8"/>
        <v>46105.940228703701</v>
      </c>
      <c r="Q133" s="52">
        <f t="shared" si="9"/>
        <v>6989.7699999999986</v>
      </c>
      <c r="R133" s="35">
        <f t="shared" si="10"/>
        <v>34</v>
      </c>
      <c r="S133" s="52" t="str">
        <f t="shared" si="11"/>
        <v>LR</v>
      </c>
    </row>
    <row r="134" spans="1:19" ht="15.75" customHeight="1" x14ac:dyDescent="0.3">
      <c r="A134" s="4" t="s">
        <v>275</v>
      </c>
      <c r="B134" s="5">
        <v>45588</v>
      </c>
      <c r="C134" s="4" t="s">
        <v>40</v>
      </c>
      <c r="D134" s="4" t="s">
        <v>41</v>
      </c>
      <c r="E134" s="4" t="s">
        <v>54</v>
      </c>
      <c r="F134" s="4" t="s">
        <v>55</v>
      </c>
      <c r="G134" s="4" t="s">
        <v>21</v>
      </c>
      <c r="H134" s="4">
        <v>2</v>
      </c>
      <c r="I134" s="4">
        <v>149.99</v>
      </c>
      <c r="J134" s="4" t="s">
        <v>36</v>
      </c>
      <c r="K134" s="4" t="s">
        <v>23</v>
      </c>
      <c r="L134" s="4" t="s">
        <v>24</v>
      </c>
      <c r="M134" s="5">
        <v>44473</v>
      </c>
      <c r="N134" s="4">
        <v>299.98</v>
      </c>
      <c r="O134" s="35">
        <v>3</v>
      </c>
      <c r="P134" s="51">
        <f t="shared" ca="1" si="8"/>
        <v>46105.940228703701</v>
      </c>
      <c r="Q134" s="52">
        <f t="shared" si="9"/>
        <v>4309.8099999999995</v>
      </c>
      <c r="R134" s="35">
        <f t="shared" si="10"/>
        <v>16</v>
      </c>
      <c r="S134" s="52" t="str">
        <f t="shared" si="11"/>
        <v>KB</v>
      </c>
    </row>
    <row r="135" spans="1:19" ht="15.75" customHeight="1" x14ac:dyDescent="0.3">
      <c r="A135" s="4" t="s">
        <v>276</v>
      </c>
      <c r="B135" s="5">
        <v>45588</v>
      </c>
      <c r="C135" s="4" t="s">
        <v>156</v>
      </c>
      <c r="D135" s="4" t="s">
        <v>157</v>
      </c>
      <c r="E135" s="4" t="s">
        <v>82</v>
      </c>
      <c r="F135" s="4" t="s">
        <v>83</v>
      </c>
      <c r="G135" s="4" t="s">
        <v>21</v>
      </c>
      <c r="H135" s="4">
        <v>2</v>
      </c>
      <c r="I135" s="4">
        <v>699.99</v>
      </c>
      <c r="J135" s="4" t="s">
        <v>22</v>
      </c>
      <c r="K135" s="4" t="s">
        <v>23</v>
      </c>
      <c r="L135" s="4" t="s">
        <v>24</v>
      </c>
      <c r="M135" s="5">
        <v>44992</v>
      </c>
      <c r="N135" s="4">
        <v>1399.98</v>
      </c>
      <c r="O135" s="35">
        <v>1</v>
      </c>
      <c r="P135" s="51">
        <f t="shared" ca="1" si="8"/>
        <v>46105.940228703701</v>
      </c>
      <c r="Q135" s="52">
        <f t="shared" si="9"/>
        <v>5499.8099999999995</v>
      </c>
      <c r="R135" s="35">
        <f t="shared" si="10"/>
        <v>31</v>
      </c>
      <c r="S135" s="52" t="str">
        <f t="shared" si="11"/>
        <v>SD</v>
      </c>
    </row>
    <row r="136" spans="1:19" ht="15.75" customHeight="1" x14ac:dyDescent="0.3">
      <c r="A136" s="4" t="s">
        <v>277</v>
      </c>
      <c r="B136" s="5">
        <v>45589</v>
      </c>
      <c r="C136" s="4" t="s">
        <v>160</v>
      </c>
      <c r="D136" s="4" t="s">
        <v>161</v>
      </c>
      <c r="E136" s="4" t="s">
        <v>82</v>
      </c>
      <c r="F136" s="4" t="s">
        <v>83</v>
      </c>
      <c r="G136" s="4" t="s">
        <v>21</v>
      </c>
      <c r="H136" s="4">
        <v>5</v>
      </c>
      <c r="I136" s="4">
        <v>699.99</v>
      </c>
      <c r="J136" s="4" t="s">
        <v>22</v>
      </c>
      <c r="K136" s="4" t="s">
        <v>42</v>
      </c>
      <c r="L136" s="4" t="s">
        <v>29</v>
      </c>
      <c r="M136" s="5">
        <v>44635</v>
      </c>
      <c r="N136" s="4">
        <v>3499.95</v>
      </c>
      <c r="O136" s="35">
        <v>2</v>
      </c>
      <c r="P136" s="51">
        <f t="shared" ca="1" si="8"/>
        <v>46105.940228703701</v>
      </c>
      <c r="Q136" s="52">
        <f t="shared" si="9"/>
        <v>5649.84</v>
      </c>
      <c r="R136" s="35">
        <f t="shared" si="10"/>
        <v>31</v>
      </c>
      <c r="S136" s="52" t="str">
        <f t="shared" si="11"/>
        <v>BC</v>
      </c>
    </row>
    <row r="137" spans="1:19" ht="15.75" customHeight="1" x14ac:dyDescent="0.3">
      <c r="A137" s="4" t="s">
        <v>278</v>
      </c>
      <c r="B137" s="5">
        <v>45592</v>
      </c>
      <c r="C137" s="4" t="s">
        <v>173</v>
      </c>
      <c r="D137" s="4" t="s">
        <v>174</v>
      </c>
      <c r="E137" s="4" t="s">
        <v>119</v>
      </c>
      <c r="F137" s="4" t="s">
        <v>120</v>
      </c>
      <c r="G137" s="4" t="s">
        <v>21</v>
      </c>
      <c r="H137" s="4">
        <v>3</v>
      </c>
      <c r="I137" s="4">
        <v>89.99</v>
      </c>
      <c r="J137" s="4" t="s">
        <v>28</v>
      </c>
      <c r="K137" s="4" t="s">
        <v>42</v>
      </c>
      <c r="L137" s="4" t="s">
        <v>38</v>
      </c>
      <c r="M137" s="5">
        <v>44615</v>
      </c>
      <c r="N137" s="4">
        <v>269.97000000000003</v>
      </c>
      <c r="O137" s="35">
        <v>2</v>
      </c>
      <c r="P137" s="51">
        <f t="shared" ca="1" si="8"/>
        <v>46105.940228703701</v>
      </c>
      <c r="Q137" s="52">
        <f t="shared" si="9"/>
        <v>3669.8500000000004</v>
      </c>
      <c r="R137" s="35">
        <f t="shared" si="10"/>
        <v>34</v>
      </c>
      <c r="S137" s="52" t="str">
        <f t="shared" si="11"/>
        <v>RR</v>
      </c>
    </row>
    <row r="138" spans="1:19" ht="15.75" customHeight="1" x14ac:dyDescent="0.3">
      <c r="A138" s="4" t="s">
        <v>279</v>
      </c>
      <c r="B138" s="5">
        <v>45597</v>
      </c>
      <c r="C138" s="4" t="s">
        <v>17</v>
      </c>
      <c r="D138" s="4" t="s">
        <v>18</v>
      </c>
      <c r="E138" s="4" t="s">
        <v>19</v>
      </c>
      <c r="F138" s="4" t="s">
        <v>20</v>
      </c>
      <c r="G138" s="4" t="s">
        <v>21</v>
      </c>
      <c r="H138" s="4">
        <v>5</v>
      </c>
      <c r="I138" s="4">
        <v>249.99</v>
      </c>
      <c r="J138" s="4" t="s">
        <v>28</v>
      </c>
      <c r="K138" s="4" t="s">
        <v>37</v>
      </c>
      <c r="L138" s="4" t="s">
        <v>38</v>
      </c>
      <c r="M138" s="5">
        <v>44881</v>
      </c>
      <c r="N138" s="4">
        <v>1249.95</v>
      </c>
      <c r="O138" s="35">
        <v>1</v>
      </c>
      <c r="P138" s="51">
        <f t="shared" ca="1" si="8"/>
        <v>46105.940228703701</v>
      </c>
      <c r="Q138" s="52">
        <f t="shared" si="9"/>
        <v>8309.739999999998</v>
      </c>
      <c r="R138" s="35">
        <f t="shared" si="10"/>
        <v>26</v>
      </c>
      <c r="S138" s="52" t="str">
        <f t="shared" si="11"/>
        <v>PB</v>
      </c>
    </row>
    <row r="139" spans="1:19" ht="15.75" customHeight="1" x14ac:dyDescent="0.3">
      <c r="A139" s="4" t="s">
        <v>280</v>
      </c>
      <c r="B139" s="5">
        <v>45600</v>
      </c>
      <c r="C139" s="4" t="s">
        <v>67</v>
      </c>
      <c r="D139" s="4" t="s">
        <v>68</v>
      </c>
      <c r="E139" s="4" t="s">
        <v>107</v>
      </c>
      <c r="F139" s="4" t="s">
        <v>108</v>
      </c>
      <c r="G139" s="4" t="s">
        <v>48</v>
      </c>
      <c r="H139" s="4">
        <v>3</v>
      </c>
      <c r="I139" s="4">
        <v>299.99</v>
      </c>
      <c r="J139" s="4" t="s">
        <v>28</v>
      </c>
      <c r="K139" s="4" t="s">
        <v>37</v>
      </c>
      <c r="L139" s="4" t="s">
        <v>38</v>
      </c>
      <c r="M139" s="5">
        <v>44502</v>
      </c>
      <c r="N139" s="4">
        <v>899.97</v>
      </c>
      <c r="O139" s="35">
        <v>3</v>
      </c>
      <c r="P139" s="51">
        <f t="shared" ca="1" si="8"/>
        <v>46105.940228703701</v>
      </c>
      <c r="Q139" s="52">
        <f t="shared" si="9"/>
        <v>8009.7699999999995</v>
      </c>
      <c r="R139" s="35">
        <f t="shared" si="10"/>
        <v>26</v>
      </c>
      <c r="S139" s="52" t="str">
        <f t="shared" si="11"/>
        <v>KH</v>
      </c>
    </row>
    <row r="140" spans="1:19" ht="15.75" customHeight="1" x14ac:dyDescent="0.3">
      <c r="A140" s="4" t="s">
        <v>281</v>
      </c>
      <c r="B140" s="5">
        <v>45603</v>
      </c>
      <c r="C140" s="4" t="s">
        <v>101</v>
      </c>
      <c r="D140" s="4" t="s">
        <v>102</v>
      </c>
      <c r="E140" s="4" t="s">
        <v>119</v>
      </c>
      <c r="F140" s="4" t="s">
        <v>120</v>
      </c>
      <c r="G140" s="4" t="s">
        <v>21</v>
      </c>
      <c r="H140" s="4">
        <v>3</v>
      </c>
      <c r="I140" s="4">
        <v>89.99</v>
      </c>
      <c r="J140" s="4" t="s">
        <v>28</v>
      </c>
      <c r="K140" s="4" t="s">
        <v>42</v>
      </c>
      <c r="L140" s="4" t="s">
        <v>29</v>
      </c>
      <c r="M140" s="5">
        <v>44420</v>
      </c>
      <c r="N140" s="4">
        <v>269.97000000000003</v>
      </c>
      <c r="O140" s="35">
        <v>3</v>
      </c>
      <c r="P140" s="51">
        <f t="shared" ca="1" si="8"/>
        <v>46105.940228703701</v>
      </c>
      <c r="Q140" s="52">
        <f t="shared" si="9"/>
        <v>9799.73</v>
      </c>
      <c r="R140" s="35">
        <f t="shared" si="10"/>
        <v>34</v>
      </c>
      <c r="S140" s="52" t="str">
        <f t="shared" si="11"/>
        <v>PM</v>
      </c>
    </row>
    <row r="141" spans="1:19" ht="15.75" customHeight="1" x14ac:dyDescent="0.3">
      <c r="A141" s="4" t="s">
        <v>282</v>
      </c>
      <c r="B141" s="5">
        <v>45604</v>
      </c>
      <c r="C141" s="4" t="s">
        <v>91</v>
      </c>
      <c r="D141" s="4" t="s">
        <v>92</v>
      </c>
      <c r="E141" s="4" t="s">
        <v>46</v>
      </c>
      <c r="F141" s="4" t="s">
        <v>47</v>
      </c>
      <c r="G141" s="4" t="s">
        <v>48</v>
      </c>
      <c r="H141" s="4">
        <v>2</v>
      </c>
      <c r="I141" s="4">
        <v>149.99</v>
      </c>
      <c r="J141" s="4" t="s">
        <v>28</v>
      </c>
      <c r="K141" s="4" t="s">
        <v>52</v>
      </c>
      <c r="L141" s="4" t="s">
        <v>29</v>
      </c>
      <c r="M141" s="5">
        <v>44848</v>
      </c>
      <c r="N141" s="4">
        <v>299.98</v>
      </c>
      <c r="O141" s="35">
        <v>2</v>
      </c>
      <c r="P141" s="51">
        <f t="shared" ca="1" si="8"/>
        <v>46105.940228703701</v>
      </c>
      <c r="Q141" s="52">
        <f t="shared" si="9"/>
        <v>1909.93</v>
      </c>
      <c r="R141" s="35">
        <f t="shared" si="10"/>
        <v>35</v>
      </c>
      <c r="S141" s="52" t="str">
        <f t="shared" si="11"/>
        <v>MG</v>
      </c>
    </row>
    <row r="142" spans="1:19" ht="15.75" customHeight="1" x14ac:dyDescent="0.3">
      <c r="A142" s="4" t="s">
        <v>283</v>
      </c>
      <c r="B142" s="5">
        <v>45605</v>
      </c>
      <c r="C142" s="4" t="s">
        <v>187</v>
      </c>
      <c r="D142" s="4" t="s">
        <v>188</v>
      </c>
      <c r="E142" s="4" t="s">
        <v>19</v>
      </c>
      <c r="F142" s="4" t="s">
        <v>20</v>
      </c>
      <c r="G142" s="4" t="s">
        <v>21</v>
      </c>
      <c r="H142" s="4">
        <v>1</v>
      </c>
      <c r="I142" s="4">
        <v>249.99</v>
      </c>
      <c r="J142" s="4" t="s">
        <v>28</v>
      </c>
      <c r="K142" s="4" t="s">
        <v>42</v>
      </c>
      <c r="L142" s="4" t="s">
        <v>29</v>
      </c>
      <c r="M142" s="5">
        <v>44828</v>
      </c>
      <c r="N142" s="4">
        <v>249.99</v>
      </c>
      <c r="O142" s="35">
        <v>2</v>
      </c>
      <c r="P142" s="51">
        <f t="shared" ca="1" si="8"/>
        <v>46105.940228703701</v>
      </c>
      <c r="Q142" s="52">
        <f t="shared" si="9"/>
        <v>2099.88</v>
      </c>
      <c r="R142" s="35">
        <f t="shared" si="10"/>
        <v>26</v>
      </c>
      <c r="S142" s="52" t="str">
        <f t="shared" si="11"/>
        <v>MW</v>
      </c>
    </row>
    <row r="143" spans="1:19" ht="15.75" customHeight="1" x14ac:dyDescent="0.3">
      <c r="A143" s="4" t="s">
        <v>284</v>
      </c>
      <c r="B143" s="5">
        <v>45607</v>
      </c>
      <c r="C143" s="4" t="s">
        <v>74</v>
      </c>
      <c r="D143" s="4" t="s">
        <v>75</v>
      </c>
      <c r="E143" s="4" t="s">
        <v>54</v>
      </c>
      <c r="F143" s="4" t="s">
        <v>55</v>
      </c>
      <c r="G143" s="4" t="s">
        <v>21</v>
      </c>
      <c r="H143" s="4">
        <v>3</v>
      </c>
      <c r="I143" s="4">
        <v>149.99</v>
      </c>
      <c r="J143" s="4" t="s">
        <v>22</v>
      </c>
      <c r="K143" s="4" t="s">
        <v>42</v>
      </c>
      <c r="L143" s="4" t="s">
        <v>24</v>
      </c>
      <c r="M143" s="5">
        <v>44769</v>
      </c>
      <c r="N143" s="4">
        <v>449.97</v>
      </c>
      <c r="O143" s="35">
        <v>2</v>
      </c>
      <c r="P143" s="51">
        <f t="shared" ca="1" si="8"/>
        <v>46105.940228703701</v>
      </c>
      <c r="Q143" s="52">
        <f t="shared" si="9"/>
        <v>5949.85</v>
      </c>
      <c r="R143" s="35">
        <f t="shared" si="10"/>
        <v>16</v>
      </c>
      <c r="S143" s="52" t="str">
        <f t="shared" si="11"/>
        <v>PR</v>
      </c>
    </row>
    <row r="144" spans="1:19" ht="15.75" customHeight="1" x14ac:dyDescent="0.3">
      <c r="A144" s="4" t="s">
        <v>285</v>
      </c>
      <c r="B144" s="5">
        <v>45607</v>
      </c>
      <c r="C144" s="4" t="s">
        <v>17</v>
      </c>
      <c r="D144" s="4" t="s">
        <v>18</v>
      </c>
      <c r="E144" s="4" t="s">
        <v>33</v>
      </c>
      <c r="F144" s="4" t="s">
        <v>34</v>
      </c>
      <c r="G144" s="4" t="s">
        <v>35</v>
      </c>
      <c r="H144" s="4">
        <v>5</v>
      </c>
      <c r="I144" s="4">
        <v>59.99</v>
      </c>
      <c r="J144" s="4" t="s">
        <v>36</v>
      </c>
      <c r="K144" s="4" t="s">
        <v>52</v>
      </c>
      <c r="L144" s="4" t="s">
        <v>29</v>
      </c>
      <c r="M144" s="5">
        <v>44694</v>
      </c>
      <c r="N144" s="4">
        <v>299.95</v>
      </c>
      <c r="O144" s="35">
        <v>2</v>
      </c>
      <c r="P144" s="51">
        <f t="shared" ca="1" si="8"/>
        <v>46105.940228703701</v>
      </c>
      <c r="Q144" s="52">
        <f t="shared" si="9"/>
        <v>8309.739999999998</v>
      </c>
      <c r="R144" s="35">
        <f t="shared" si="10"/>
        <v>29</v>
      </c>
      <c r="S144" s="52" t="str">
        <f t="shared" si="11"/>
        <v>PB</v>
      </c>
    </row>
    <row r="145" spans="1:19" ht="15.75" customHeight="1" x14ac:dyDescent="0.3">
      <c r="A145" s="4" t="s">
        <v>286</v>
      </c>
      <c r="B145" s="5">
        <v>45607</v>
      </c>
      <c r="C145" s="4" t="s">
        <v>101</v>
      </c>
      <c r="D145" s="4" t="s">
        <v>102</v>
      </c>
      <c r="E145" s="4" t="s">
        <v>19</v>
      </c>
      <c r="F145" s="4" t="s">
        <v>20</v>
      </c>
      <c r="G145" s="4" t="s">
        <v>21</v>
      </c>
      <c r="H145" s="4">
        <v>4</v>
      </c>
      <c r="I145" s="4">
        <v>249.99</v>
      </c>
      <c r="J145" s="4" t="s">
        <v>28</v>
      </c>
      <c r="K145" s="4" t="s">
        <v>52</v>
      </c>
      <c r="L145" s="4" t="s">
        <v>38</v>
      </c>
      <c r="M145" s="5">
        <v>44659</v>
      </c>
      <c r="N145" s="4">
        <v>999.96</v>
      </c>
      <c r="O145" s="35">
        <v>2</v>
      </c>
      <c r="P145" s="51">
        <f t="shared" ca="1" si="8"/>
        <v>46105.940228703701</v>
      </c>
      <c r="Q145" s="52">
        <f t="shared" si="9"/>
        <v>9799.73</v>
      </c>
      <c r="R145" s="35">
        <f t="shared" si="10"/>
        <v>26</v>
      </c>
      <c r="S145" s="52" t="str">
        <f t="shared" si="11"/>
        <v>PM</v>
      </c>
    </row>
    <row r="146" spans="1:19" ht="15.75" customHeight="1" x14ac:dyDescent="0.3">
      <c r="A146" s="4" t="s">
        <v>287</v>
      </c>
      <c r="B146" s="5">
        <v>45608</v>
      </c>
      <c r="C146" s="4" t="s">
        <v>156</v>
      </c>
      <c r="D146" s="4" t="s">
        <v>157</v>
      </c>
      <c r="E146" s="4" t="s">
        <v>46</v>
      </c>
      <c r="F146" s="4" t="s">
        <v>47</v>
      </c>
      <c r="G146" s="4" t="s">
        <v>48</v>
      </c>
      <c r="H146" s="4">
        <v>5</v>
      </c>
      <c r="I146" s="4">
        <v>149.99</v>
      </c>
      <c r="J146" s="4" t="s">
        <v>36</v>
      </c>
      <c r="K146" s="4" t="s">
        <v>23</v>
      </c>
      <c r="L146" s="4" t="s">
        <v>24</v>
      </c>
      <c r="M146" s="5">
        <v>44901</v>
      </c>
      <c r="N146" s="4">
        <v>749.95</v>
      </c>
      <c r="O146" s="35">
        <v>1</v>
      </c>
      <c r="P146" s="51">
        <f t="shared" ca="1" si="8"/>
        <v>46105.940228703701</v>
      </c>
      <c r="Q146" s="52">
        <f t="shared" si="9"/>
        <v>5499.8099999999995</v>
      </c>
      <c r="R146" s="35">
        <f t="shared" si="10"/>
        <v>35</v>
      </c>
      <c r="S146" s="52" t="str">
        <f t="shared" si="11"/>
        <v>SD</v>
      </c>
    </row>
    <row r="147" spans="1:19" ht="15.75" customHeight="1" x14ac:dyDescent="0.3">
      <c r="A147" s="4" t="s">
        <v>288</v>
      </c>
      <c r="B147" s="5">
        <v>45608</v>
      </c>
      <c r="C147" s="4" t="s">
        <v>85</v>
      </c>
      <c r="D147" s="4" t="s">
        <v>86</v>
      </c>
      <c r="E147" s="4" t="s">
        <v>33</v>
      </c>
      <c r="F147" s="4" t="s">
        <v>34</v>
      </c>
      <c r="G147" s="4" t="s">
        <v>35</v>
      </c>
      <c r="H147" s="4">
        <v>3</v>
      </c>
      <c r="I147" s="4">
        <v>59.99</v>
      </c>
      <c r="J147" s="4" t="s">
        <v>59</v>
      </c>
      <c r="K147" s="4" t="s">
        <v>37</v>
      </c>
      <c r="L147" s="4" t="s">
        <v>38</v>
      </c>
      <c r="M147" s="5">
        <v>45260</v>
      </c>
      <c r="N147" s="4">
        <v>179.97</v>
      </c>
      <c r="O147" s="35">
        <v>0</v>
      </c>
      <c r="P147" s="51">
        <f t="shared" ca="1" si="8"/>
        <v>46105.940228703701</v>
      </c>
      <c r="Q147" s="52">
        <f t="shared" si="9"/>
        <v>3779.93</v>
      </c>
      <c r="R147" s="35">
        <f t="shared" si="10"/>
        <v>29</v>
      </c>
      <c r="S147" s="52" t="str">
        <f t="shared" si="11"/>
        <v>GA</v>
      </c>
    </row>
    <row r="148" spans="1:19" ht="15.75" customHeight="1" x14ac:dyDescent="0.3">
      <c r="A148" s="4" t="s">
        <v>289</v>
      </c>
      <c r="B148" s="5">
        <v>45613</v>
      </c>
      <c r="C148" s="4" t="s">
        <v>236</v>
      </c>
      <c r="D148" s="4" t="s">
        <v>237</v>
      </c>
      <c r="E148" s="4" t="s">
        <v>46</v>
      </c>
      <c r="F148" s="4" t="s">
        <v>47</v>
      </c>
      <c r="G148" s="4" t="s">
        <v>48</v>
      </c>
      <c r="H148" s="4">
        <v>5</v>
      </c>
      <c r="I148" s="4">
        <v>149.99</v>
      </c>
      <c r="J148" s="4" t="s">
        <v>22</v>
      </c>
      <c r="K148" s="4" t="s">
        <v>42</v>
      </c>
      <c r="L148" s="4" t="s">
        <v>24</v>
      </c>
      <c r="M148" s="5">
        <v>44869</v>
      </c>
      <c r="N148" s="4">
        <v>749.95</v>
      </c>
      <c r="O148" s="35">
        <v>2</v>
      </c>
      <c r="P148" s="51">
        <f t="shared" ca="1" si="8"/>
        <v>46105.940228703701</v>
      </c>
      <c r="Q148" s="52">
        <f t="shared" si="9"/>
        <v>6349.83</v>
      </c>
      <c r="R148" s="35">
        <f t="shared" si="10"/>
        <v>35</v>
      </c>
      <c r="S148" s="52" t="str">
        <f t="shared" si="11"/>
        <v>SP</v>
      </c>
    </row>
    <row r="149" spans="1:19" ht="15.75" customHeight="1" x14ac:dyDescent="0.3">
      <c r="A149" s="4" t="s">
        <v>290</v>
      </c>
      <c r="B149" s="5">
        <v>45613</v>
      </c>
      <c r="C149" s="4" t="s">
        <v>88</v>
      </c>
      <c r="D149" s="4" t="s">
        <v>89</v>
      </c>
      <c r="E149" s="4" t="s">
        <v>82</v>
      </c>
      <c r="F149" s="4" t="s">
        <v>83</v>
      </c>
      <c r="G149" s="4" t="s">
        <v>21</v>
      </c>
      <c r="H149" s="4">
        <v>2</v>
      </c>
      <c r="I149" s="4">
        <v>699.99</v>
      </c>
      <c r="J149" s="4" t="s">
        <v>36</v>
      </c>
      <c r="K149" s="4" t="s">
        <v>52</v>
      </c>
      <c r="L149" s="4" t="s">
        <v>38</v>
      </c>
      <c r="M149" s="5">
        <v>44770</v>
      </c>
      <c r="N149" s="4">
        <v>1399.98</v>
      </c>
      <c r="O149" s="35">
        <v>2</v>
      </c>
      <c r="P149" s="51">
        <f t="shared" ca="1" si="8"/>
        <v>46105.940228703701</v>
      </c>
      <c r="Q149" s="52">
        <f t="shared" si="9"/>
        <v>15659.65</v>
      </c>
      <c r="R149" s="35">
        <f t="shared" si="10"/>
        <v>31</v>
      </c>
      <c r="S149" s="52" t="str">
        <f t="shared" si="11"/>
        <v>MC</v>
      </c>
    </row>
    <row r="150" spans="1:19" ht="15.75" customHeight="1" x14ac:dyDescent="0.3">
      <c r="A150" s="4" t="s">
        <v>291</v>
      </c>
      <c r="B150" s="5">
        <v>45617</v>
      </c>
      <c r="C150" s="4" t="s">
        <v>125</v>
      </c>
      <c r="D150" s="4" t="s">
        <v>126</v>
      </c>
      <c r="E150" s="4" t="s">
        <v>128</v>
      </c>
      <c r="F150" s="4" t="s">
        <v>129</v>
      </c>
      <c r="G150" s="4" t="s">
        <v>48</v>
      </c>
      <c r="H150" s="4">
        <v>4</v>
      </c>
      <c r="I150" s="4">
        <v>199.99</v>
      </c>
      <c r="J150" s="4" t="s">
        <v>59</v>
      </c>
      <c r="K150" s="4" t="s">
        <v>23</v>
      </c>
      <c r="L150" s="4" t="s">
        <v>29</v>
      </c>
      <c r="M150" s="5">
        <v>44427</v>
      </c>
      <c r="N150" s="4">
        <v>799.96</v>
      </c>
      <c r="O150" s="35">
        <v>3</v>
      </c>
      <c r="P150" s="51">
        <f t="shared" ca="1" si="8"/>
        <v>46105.940228703701</v>
      </c>
      <c r="Q150" s="52">
        <f t="shared" si="9"/>
        <v>11919.769999999999</v>
      </c>
      <c r="R150" s="35">
        <f t="shared" si="10"/>
        <v>15</v>
      </c>
      <c r="S150" s="52" t="str">
        <f t="shared" si="11"/>
        <v>EM</v>
      </c>
    </row>
    <row r="151" spans="1:19" ht="15.75" customHeight="1" x14ac:dyDescent="0.3">
      <c r="A151" s="4" t="s">
        <v>292</v>
      </c>
      <c r="B151" s="5">
        <v>45619</v>
      </c>
      <c r="C151" s="4" t="s">
        <v>194</v>
      </c>
      <c r="D151" s="4" t="s">
        <v>195</v>
      </c>
      <c r="E151" s="4" t="s">
        <v>33</v>
      </c>
      <c r="F151" s="4" t="s">
        <v>34</v>
      </c>
      <c r="G151" s="4" t="s">
        <v>35</v>
      </c>
      <c r="H151" s="4">
        <v>1</v>
      </c>
      <c r="I151" s="4">
        <v>59.99</v>
      </c>
      <c r="J151" s="4" t="s">
        <v>59</v>
      </c>
      <c r="K151" s="4" t="s">
        <v>52</v>
      </c>
      <c r="L151" s="4" t="s">
        <v>38</v>
      </c>
      <c r="M151" s="5">
        <v>44560</v>
      </c>
      <c r="N151" s="4">
        <v>59.99</v>
      </c>
      <c r="O151" s="35">
        <v>2</v>
      </c>
      <c r="P151" s="51">
        <f t="shared" ca="1" si="8"/>
        <v>46105.940228703701</v>
      </c>
      <c r="Q151" s="52">
        <f t="shared" si="9"/>
        <v>1479.91</v>
      </c>
      <c r="R151" s="35">
        <f t="shared" si="10"/>
        <v>29</v>
      </c>
      <c r="S151" s="52" t="str">
        <f t="shared" si="11"/>
        <v>FT</v>
      </c>
    </row>
    <row r="152" spans="1:19" ht="15.75" customHeight="1" x14ac:dyDescent="0.3">
      <c r="A152" s="4" t="s">
        <v>293</v>
      </c>
      <c r="B152" s="5">
        <v>45619</v>
      </c>
      <c r="C152" s="4" t="s">
        <v>156</v>
      </c>
      <c r="D152" s="4" t="s">
        <v>157</v>
      </c>
      <c r="E152" s="4" t="s">
        <v>82</v>
      </c>
      <c r="F152" s="4" t="s">
        <v>83</v>
      </c>
      <c r="G152" s="4" t="s">
        <v>21</v>
      </c>
      <c r="H152" s="4">
        <v>3</v>
      </c>
      <c r="I152" s="4">
        <v>699.99</v>
      </c>
      <c r="J152" s="4" t="s">
        <v>36</v>
      </c>
      <c r="K152" s="4" t="s">
        <v>52</v>
      </c>
      <c r="L152" s="4" t="s">
        <v>38</v>
      </c>
      <c r="M152" s="5">
        <v>44583</v>
      </c>
      <c r="N152" s="4">
        <v>2099.9699999999998</v>
      </c>
      <c r="O152" s="35">
        <v>2</v>
      </c>
      <c r="P152" s="51">
        <f t="shared" ca="1" si="8"/>
        <v>46105.940228703701</v>
      </c>
      <c r="Q152" s="52">
        <f t="shared" si="9"/>
        <v>5499.8099999999995</v>
      </c>
      <c r="R152" s="35">
        <f t="shared" si="10"/>
        <v>31</v>
      </c>
      <c r="S152" s="52" t="str">
        <f t="shared" si="11"/>
        <v>SD</v>
      </c>
    </row>
    <row r="153" spans="1:19" ht="15.75" customHeight="1" x14ac:dyDescent="0.3">
      <c r="A153" s="4" t="s">
        <v>294</v>
      </c>
      <c r="B153" s="5">
        <v>45622</v>
      </c>
      <c r="C153" s="4" t="s">
        <v>295</v>
      </c>
      <c r="D153" s="4" t="s">
        <v>296</v>
      </c>
      <c r="E153" s="4" t="s">
        <v>19</v>
      </c>
      <c r="F153" s="4" t="s">
        <v>20</v>
      </c>
      <c r="G153" s="4" t="s">
        <v>21</v>
      </c>
      <c r="H153" s="4">
        <v>5</v>
      </c>
      <c r="I153" s="4">
        <v>249.99</v>
      </c>
      <c r="J153" s="4" t="s">
        <v>28</v>
      </c>
      <c r="K153" s="4" t="s">
        <v>42</v>
      </c>
      <c r="L153" s="4" t="s">
        <v>24</v>
      </c>
      <c r="M153" s="5">
        <v>44873</v>
      </c>
      <c r="N153" s="4">
        <v>1249.95</v>
      </c>
      <c r="O153" s="35">
        <v>2</v>
      </c>
      <c r="P153" s="51">
        <f t="shared" ca="1" si="8"/>
        <v>46105.940228703701</v>
      </c>
      <c r="Q153" s="52">
        <f t="shared" si="9"/>
        <v>4829.8899999999994</v>
      </c>
      <c r="R153" s="35">
        <f t="shared" si="10"/>
        <v>26</v>
      </c>
      <c r="S153" s="52" t="str">
        <f t="shared" si="11"/>
        <v>DW</v>
      </c>
    </row>
    <row r="154" spans="1:19" ht="15.75" customHeight="1" x14ac:dyDescent="0.3">
      <c r="A154" s="4" t="s">
        <v>297</v>
      </c>
      <c r="B154" s="5">
        <v>45623</v>
      </c>
      <c r="C154" s="4" t="s">
        <v>114</v>
      </c>
      <c r="D154" s="4" t="s">
        <v>115</v>
      </c>
      <c r="E154" s="4" t="s">
        <v>46</v>
      </c>
      <c r="F154" s="4" t="s">
        <v>47</v>
      </c>
      <c r="G154" s="4" t="s">
        <v>48</v>
      </c>
      <c r="H154" s="4">
        <v>2</v>
      </c>
      <c r="I154" s="4">
        <v>149.99</v>
      </c>
      <c r="J154" s="4" t="s">
        <v>22</v>
      </c>
      <c r="K154" s="4" t="s">
        <v>37</v>
      </c>
      <c r="L154" s="4" t="s">
        <v>38</v>
      </c>
      <c r="M154" s="5">
        <v>45101</v>
      </c>
      <c r="N154" s="4">
        <v>299.98</v>
      </c>
      <c r="O154" s="35">
        <v>1</v>
      </c>
      <c r="P154" s="51">
        <f t="shared" ca="1" si="8"/>
        <v>46105.940228703701</v>
      </c>
      <c r="Q154" s="52">
        <f t="shared" si="9"/>
        <v>1289.9000000000001</v>
      </c>
      <c r="R154" s="35">
        <f t="shared" si="10"/>
        <v>35</v>
      </c>
      <c r="S154" s="52" t="str">
        <f t="shared" si="11"/>
        <v>LM</v>
      </c>
    </row>
    <row r="155" spans="1:19" ht="15.75" customHeight="1" x14ac:dyDescent="0.3">
      <c r="A155" s="4" t="s">
        <v>298</v>
      </c>
      <c r="B155" s="5">
        <v>45627</v>
      </c>
      <c r="C155" s="4" t="s">
        <v>31</v>
      </c>
      <c r="D155" s="4" t="s">
        <v>32</v>
      </c>
      <c r="E155" s="4" t="s">
        <v>107</v>
      </c>
      <c r="F155" s="4" t="s">
        <v>108</v>
      </c>
      <c r="G155" s="4" t="s">
        <v>48</v>
      </c>
      <c r="H155" s="4">
        <v>3</v>
      </c>
      <c r="I155" s="4">
        <v>299.99</v>
      </c>
      <c r="J155" s="4" t="s">
        <v>22</v>
      </c>
      <c r="K155" s="4" t="s">
        <v>37</v>
      </c>
      <c r="L155" s="4" t="s">
        <v>29</v>
      </c>
      <c r="M155" s="5">
        <v>44659</v>
      </c>
      <c r="N155" s="4">
        <v>899.97</v>
      </c>
      <c r="O155" s="35">
        <v>2</v>
      </c>
      <c r="P155" s="51">
        <f t="shared" ca="1" si="8"/>
        <v>46105.940228703701</v>
      </c>
      <c r="Q155" s="52">
        <f t="shared" si="9"/>
        <v>3259.87</v>
      </c>
      <c r="R155" s="35">
        <f t="shared" si="10"/>
        <v>26</v>
      </c>
      <c r="S155" s="52" t="str">
        <f t="shared" si="11"/>
        <v>KS</v>
      </c>
    </row>
    <row r="156" spans="1:19" ht="15.75" customHeight="1" x14ac:dyDescent="0.3">
      <c r="A156" s="4" t="s">
        <v>299</v>
      </c>
      <c r="B156" s="5">
        <v>45627</v>
      </c>
      <c r="C156" s="4" t="s">
        <v>57</v>
      </c>
      <c r="D156" s="4" t="s">
        <v>58</v>
      </c>
      <c r="E156" s="4" t="s">
        <v>19</v>
      </c>
      <c r="F156" s="4" t="s">
        <v>20</v>
      </c>
      <c r="G156" s="4" t="s">
        <v>21</v>
      </c>
      <c r="H156" s="4">
        <v>5</v>
      </c>
      <c r="I156" s="4">
        <v>249.99</v>
      </c>
      <c r="J156" s="4" t="s">
        <v>22</v>
      </c>
      <c r="K156" s="4" t="s">
        <v>23</v>
      </c>
      <c r="L156" s="4" t="s">
        <v>29</v>
      </c>
      <c r="M156" s="5">
        <v>44485</v>
      </c>
      <c r="N156" s="4">
        <v>1249.95</v>
      </c>
      <c r="O156" s="35">
        <v>3</v>
      </c>
      <c r="P156" s="51">
        <f t="shared" ca="1" si="8"/>
        <v>46105.940228703701</v>
      </c>
      <c r="Q156" s="52">
        <f t="shared" si="9"/>
        <v>5089.7300000000005</v>
      </c>
      <c r="R156" s="35">
        <f t="shared" si="10"/>
        <v>26</v>
      </c>
      <c r="S156" s="52" t="str">
        <f t="shared" si="11"/>
        <v>CA</v>
      </c>
    </row>
    <row r="157" spans="1:19" ht="15.75" customHeight="1" x14ac:dyDescent="0.3">
      <c r="A157" s="4" t="s">
        <v>300</v>
      </c>
      <c r="B157" s="5">
        <v>45627</v>
      </c>
      <c r="C157" s="4" t="s">
        <v>26</v>
      </c>
      <c r="D157" s="4" t="s">
        <v>27</v>
      </c>
      <c r="E157" s="4" t="s">
        <v>54</v>
      </c>
      <c r="F157" s="4" t="s">
        <v>55</v>
      </c>
      <c r="G157" s="4" t="s">
        <v>21</v>
      </c>
      <c r="H157" s="4">
        <v>2</v>
      </c>
      <c r="I157" s="4">
        <v>149.99</v>
      </c>
      <c r="J157" s="4" t="s">
        <v>22</v>
      </c>
      <c r="K157" s="4" t="s">
        <v>37</v>
      </c>
      <c r="L157" s="4" t="s">
        <v>29</v>
      </c>
      <c r="M157" s="5">
        <v>44475</v>
      </c>
      <c r="N157" s="4">
        <v>299.98</v>
      </c>
      <c r="O157" s="35">
        <v>3</v>
      </c>
      <c r="P157" s="51">
        <f t="shared" ca="1" si="8"/>
        <v>46105.940228703701</v>
      </c>
      <c r="Q157" s="52">
        <f t="shared" si="9"/>
        <v>6949.84</v>
      </c>
      <c r="R157" s="35">
        <f t="shared" si="10"/>
        <v>16</v>
      </c>
      <c r="S157" s="52" t="str">
        <f t="shared" si="11"/>
        <v>JJ</v>
      </c>
    </row>
    <row r="158" spans="1:19" ht="15.75" customHeight="1" x14ac:dyDescent="0.3">
      <c r="A158" s="4" t="s">
        <v>301</v>
      </c>
      <c r="B158" s="5">
        <v>45627</v>
      </c>
      <c r="C158" s="4" t="s">
        <v>88</v>
      </c>
      <c r="D158" s="4" t="s">
        <v>89</v>
      </c>
      <c r="E158" s="4" t="s">
        <v>82</v>
      </c>
      <c r="F158" s="4" t="s">
        <v>83</v>
      </c>
      <c r="G158" s="4" t="s">
        <v>21</v>
      </c>
      <c r="H158" s="4">
        <v>5</v>
      </c>
      <c r="I158" s="4">
        <v>699.99</v>
      </c>
      <c r="J158" s="4" t="s">
        <v>59</v>
      </c>
      <c r="K158" s="4" t="s">
        <v>52</v>
      </c>
      <c r="L158" s="4" t="s">
        <v>38</v>
      </c>
      <c r="M158" s="5">
        <v>44944</v>
      </c>
      <c r="N158" s="4">
        <v>3499.95</v>
      </c>
      <c r="O158" s="35">
        <v>1</v>
      </c>
      <c r="P158" s="51">
        <f t="shared" ca="1" si="8"/>
        <v>46105.940228703701</v>
      </c>
      <c r="Q158" s="52">
        <f t="shared" si="9"/>
        <v>15659.65</v>
      </c>
      <c r="R158" s="35">
        <f t="shared" si="10"/>
        <v>31</v>
      </c>
      <c r="S158" s="52" t="str">
        <f t="shared" si="11"/>
        <v>MC</v>
      </c>
    </row>
    <row r="159" spans="1:19" ht="15.75" customHeight="1" x14ac:dyDescent="0.3">
      <c r="A159" s="4" t="s">
        <v>302</v>
      </c>
      <c r="B159" s="5">
        <v>45629</v>
      </c>
      <c r="C159" s="4" t="s">
        <v>254</v>
      </c>
      <c r="D159" s="4" t="s">
        <v>255</v>
      </c>
      <c r="E159" s="4" t="s">
        <v>19</v>
      </c>
      <c r="F159" s="4" t="s">
        <v>20</v>
      </c>
      <c r="G159" s="4" t="s">
        <v>21</v>
      </c>
      <c r="H159" s="4">
        <v>4</v>
      </c>
      <c r="I159" s="4">
        <v>249.99</v>
      </c>
      <c r="J159" s="4" t="s">
        <v>36</v>
      </c>
      <c r="K159" s="4" t="s">
        <v>65</v>
      </c>
      <c r="L159" s="4" t="s">
        <v>29</v>
      </c>
      <c r="M159" s="5">
        <v>45098</v>
      </c>
      <c r="N159" s="4">
        <v>999.96</v>
      </c>
      <c r="O159" s="35">
        <v>1</v>
      </c>
      <c r="P159" s="51">
        <f t="shared" ca="1" si="8"/>
        <v>46105.940228703701</v>
      </c>
      <c r="Q159" s="52">
        <f t="shared" si="9"/>
        <v>4749.91</v>
      </c>
      <c r="R159" s="35">
        <f t="shared" si="10"/>
        <v>26</v>
      </c>
      <c r="S159" s="52" t="str">
        <f t="shared" si="11"/>
        <v>WW</v>
      </c>
    </row>
    <row r="160" spans="1:19" ht="15.75" customHeight="1" x14ac:dyDescent="0.3">
      <c r="A160" s="4" t="s">
        <v>303</v>
      </c>
      <c r="B160" s="5">
        <v>45630</v>
      </c>
      <c r="C160" s="4" t="s">
        <v>50</v>
      </c>
      <c r="D160" s="4" t="s">
        <v>51</v>
      </c>
      <c r="E160" s="4" t="s">
        <v>82</v>
      </c>
      <c r="F160" s="4" t="s">
        <v>83</v>
      </c>
      <c r="G160" s="4" t="s">
        <v>21</v>
      </c>
      <c r="H160" s="4">
        <v>4</v>
      </c>
      <c r="I160" s="4">
        <v>699.99</v>
      </c>
      <c r="J160" s="4" t="s">
        <v>28</v>
      </c>
      <c r="K160" s="4" t="s">
        <v>42</v>
      </c>
      <c r="L160" s="4" t="s">
        <v>29</v>
      </c>
      <c r="M160" s="5">
        <v>44703</v>
      </c>
      <c r="N160" s="4">
        <v>2799.96</v>
      </c>
      <c r="O160" s="35">
        <v>2</v>
      </c>
      <c r="P160" s="51">
        <f t="shared" ca="1" si="8"/>
        <v>46105.940228703701</v>
      </c>
      <c r="Q160" s="52">
        <f t="shared" si="9"/>
        <v>8269.7900000000009</v>
      </c>
      <c r="R160" s="35">
        <f t="shared" si="10"/>
        <v>31</v>
      </c>
      <c r="S160" s="52" t="str">
        <f t="shared" si="11"/>
        <v>DN</v>
      </c>
    </row>
    <row r="161" spans="1:19" ht="15.75" customHeight="1" x14ac:dyDescent="0.3">
      <c r="A161" s="4" t="s">
        <v>304</v>
      </c>
      <c r="B161" s="5">
        <v>45635</v>
      </c>
      <c r="C161" s="4" t="s">
        <v>110</v>
      </c>
      <c r="D161" s="4" t="s">
        <v>111</v>
      </c>
      <c r="E161" s="4" t="s">
        <v>19</v>
      </c>
      <c r="F161" s="4" t="s">
        <v>20</v>
      </c>
      <c r="G161" s="4" t="s">
        <v>21</v>
      </c>
      <c r="H161" s="4">
        <v>2</v>
      </c>
      <c r="I161" s="4">
        <v>249.99</v>
      </c>
      <c r="J161" s="4" t="s">
        <v>28</v>
      </c>
      <c r="K161" s="4" t="s">
        <v>23</v>
      </c>
      <c r="L161" s="4" t="s">
        <v>29</v>
      </c>
      <c r="M161" s="5">
        <v>44396</v>
      </c>
      <c r="N161" s="4">
        <v>499.98</v>
      </c>
      <c r="O161" s="35">
        <v>3</v>
      </c>
      <c r="P161" s="51">
        <f t="shared" ca="1" si="8"/>
        <v>46105.940228703701</v>
      </c>
      <c r="Q161" s="52">
        <f t="shared" si="9"/>
        <v>4189.7700000000004</v>
      </c>
      <c r="R161" s="35">
        <f t="shared" si="10"/>
        <v>26</v>
      </c>
      <c r="S161" s="52" t="str">
        <f t="shared" si="11"/>
        <v>NC</v>
      </c>
    </row>
    <row r="162" spans="1:19" ht="15.75" customHeight="1" x14ac:dyDescent="0.3">
      <c r="A162" s="4" t="s">
        <v>305</v>
      </c>
      <c r="B162" s="5">
        <v>45635</v>
      </c>
      <c r="C162" s="4" t="s">
        <v>306</v>
      </c>
      <c r="D162" s="4" t="s">
        <v>307</v>
      </c>
      <c r="E162" s="4" t="s">
        <v>33</v>
      </c>
      <c r="F162" s="4" t="s">
        <v>34</v>
      </c>
      <c r="G162" s="4" t="s">
        <v>35</v>
      </c>
      <c r="H162" s="4">
        <v>3</v>
      </c>
      <c r="I162" s="4">
        <v>59.99</v>
      </c>
      <c r="J162" s="4" t="s">
        <v>22</v>
      </c>
      <c r="K162" s="4" t="s">
        <v>23</v>
      </c>
      <c r="L162" s="4" t="s">
        <v>29</v>
      </c>
      <c r="M162" s="5">
        <v>45052</v>
      </c>
      <c r="N162" s="4">
        <v>179.97</v>
      </c>
      <c r="O162" s="35">
        <v>1</v>
      </c>
      <c r="P162" s="51">
        <f t="shared" ca="1" si="8"/>
        <v>46105.940228703701</v>
      </c>
      <c r="Q162" s="52">
        <f t="shared" si="9"/>
        <v>179.97</v>
      </c>
      <c r="R162" s="35">
        <f t="shared" si="10"/>
        <v>29</v>
      </c>
      <c r="S162" s="52" t="str">
        <f t="shared" si="11"/>
        <v>JJ</v>
      </c>
    </row>
    <row r="163" spans="1:19" ht="15.75" customHeight="1" x14ac:dyDescent="0.3">
      <c r="A163" s="4" t="s">
        <v>308</v>
      </c>
      <c r="B163" s="5">
        <v>45635</v>
      </c>
      <c r="C163" s="4" t="s">
        <v>143</v>
      </c>
      <c r="D163" s="4" t="s">
        <v>144</v>
      </c>
      <c r="E163" s="4" t="s">
        <v>116</v>
      </c>
      <c r="F163" s="4" t="s">
        <v>117</v>
      </c>
      <c r="G163" s="4" t="s">
        <v>35</v>
      </c>
      <c r="H163" s="4">
        <v>4</v>
      </c>
      <c r="I163" s="4">
        <v>79.989999999999995</v>
      </c>
      <c r="J163" s="4" t="s">
        <v>59</v>
      </c>
      <c r="K163" s="4" t="s">
        <v>65</v>
      </c>
      <c r="L163" s="4" t="s">
        <v>38</v>
      </c>
      <c r="M163" s="5">
        <v>44921</v>
      </c>
      <c r="N163" s="4">
        <v>319.95999999999998</v>
      </c>
      <c r="O163" s="35">
        <v>1</v>
      </c>
      <c r="P163" s="51">
        <f t="shared" ca="1" si="8"/>
        <v>46105.940228703701</v>
      </c>
      <c r="Q163" s="52">
        <f t="shared" si="9"/>
        <v>4739.8500000000004</v>
      </c>
      <c r="R163" s="35">
        <f t="shared" si="10"/>
        <v>14</v>
      </c>
      <c r="S163" s="52" t="str">
        <f t="shared" si="11"/>
        <v>JT</v>
      </c>
    </row>
    <row r="164" spans="1:19" ht="15.75" customHeight="1" x14ac:dyDescent="0.3">
      <c r="A164" s="4" t="s">
        <v>309</v>
      </c>
      <c r="B164" s="5">
        <v>45636</v>
      </c>
      <c r="C164" s="4" t="s">
        <v>122</v>
      </c>
      <c r="D164" s="4" t="s">
        <v>123</v>
      </c>
      <c r="E164" s="4" t="s">
        <v>116</v>
      </c>
      <c r="F164" s="4" t="s">
        <v>117</v>
      </c>
      <c r="G164" s="4" t="s">
        <v>35</v>
      </c>
      <c r="H164" s="4">
        <v>3</v>
      </c>
      <c r="I164" s="4">
        <v>79.989999999999995</v>
      </c>
      <c r="J164" s="4" t="s">
        <v>59</v>
      </c>
      <c r="K164" s="4" t="s">
        <v>65</v>
      </c>
      <c r="L164" s="4" t="s">
        <v>38</v>
      </c>
      <c r="M164" s="5">
        <v>44779</v>
      </c>
      <c r="N164" s="4">
        <v>239.97</v>
      </c>
      <c r="O164" s="35">
        <v>2</v>
      </c>
      <c r="P164" s="51">
        <f t="shared" ca="1" si="8"/>
        <v>46105.940228703701</v>
      </c>
      <c r="Q164" s="52">
        <f t="shared" si="9"/>
        <v>6459.79</v>
      </c>
      <c r="R164" s="35">
        <f t="shared" si="10"/>
        <v>14</v>
      </c>
      <c r="S164" s="52" t="str">
        <f t="shared" si="11"/>
        <v>HR</v>
      </c>
    </row>
    <row r="165" spans="1:19" ht="15.75" customHeight="1" x14ac:dyDescent="0.3">
      <c r="A165" s="4" t="s">
        <v>310</v>
      </c>
      <c r="B165" s="5">
        <v>45638</v>
      </c>
      <c r="C165" s="4" t="s">
        <v>74</v>
      </c>
      <c r="D165" s="4" t="s">
        <v>75</v>
      </c>
      <c r="E165" s="4" t="s">
        <v>63</v>
      </c>
      <c r="F165" s="4" t="s">
        <v>64</v>
      </c>
      <c r="G165" s="4" t="s">
        <v>21</v>
      </c>
      <c r="H165" s="4">
        <v>2</v>
      </c>
      <c r="I165" s="4">
        <v>899.99</v>
      </c>
      <c r="J165" s="4" t="s">
        <v>22</v>
      </c>
      <c r="K165" s="4" t="s">
        <v>42</v>
      </c>
      <c r="L165" s="4" t="s">
        <v>24</v>
      </c>
      <c r="M165" s="5">
        <v>44406</v>
      </c>
      <c r="N165" s="4">
        <v>1799.98</v>
      </c>
      <c r="O165" s="35">
        <v>3</v>
      </c>
      <c r="P165" s="51">
        <f t="shared" ca="1" si="8"/>
        <v>46105.940228703701</v>
      </c>
      <c r="Q165" s="52">
        <f t="shared" si="9"/>
        <v>5949.85</v>
      </c>
      <c r="R165" s="35">
        <f t="shared" si="10"/>
        <v>24</v>
      </c>
      <c r="S165" s="52" t="str">
        <f t="shared" si="11"/>
        <v>PR</v>
      </c>
    </row>
    <row r="166" spans="1:19" ht="15.75" customHeight="1" x14ac:dyDescent="0.3">
      <c r="A166" s="4" t="s">
        <v>311</v>
      </c>
      <c r="B166" s="5">
        <v>45641</v>
      </c>
      <c r="C166" s="4" t="s">
        <v>184</v>
      </c>
      <c r="D166" s="4" t="s">
        <v>185</v>
      </c>
      <c r="E166" s="4" t="s">
        <v>46</v>
      </c>
      <c r="F166" s="4" t="s">
        <v>47</v>
      </c>
      <c r="G166" s="4" t="s">
        <v>48</v>
      </c>
      <c r="H166" s="4">
        <v>1</v>
      </c>
      <c r="I166" s="4">
        <v>149.99</v>
      </c>
      <c r="J166" s="4" t="s">
        <v>59</v>
      </c>
      <c r="K166" s="4" t="s">
        <v>65</v>
      </c>
      <c r="L166" s="4" t="s">
        <v>38</v>
      </c>
      <c r="M166" s="5">
        <v>45200</v>
      </c>
      <c r="N166" s="4">
        <v>149.99</v>
      </c>
      <c r="O166" s="35">
        <v>1</v>
      </c>
      <c r="P166" s="51">
        <f t="shared" ca="1" si="8"/>
        <v>46105.940228703701</v>
      </c>
      <c r="Q166" s="52">
        <f t="shared" si="9"/>
        <v>1809.84</v>
      </c>
      <c r="R166" s="35">
        <f t="shared" si="10"/>
        <v>35</v>
      </c>
      <c r="S166" s="52" t="str">
        <f t="shared" si="11"/>
        <v>DM</v>
      </c>
    </row>
    <row r="167" spans="1:19" ht="15.75" customHeight="1" x14ac:dyDescent="0.3">
      <c r="A167" s="4" t="s">
        <v>312</v>
      </c>
      <c r="B167" s="5">
        <v>45641</v>
      </c>
      <c r="C167" s="4" t="s">
        <v>140</v>
      </c>
      <c r="D167" s="4" t="s">
        <v>141</v>
      </c>
      <c r="E167" s="4" t="s">
        <v>107</v>
      </c>
      <c r="F167" s="4" t="s">
        <v>108</v>
      </c>
      <c r="G167" s="4" t="s">
        <v>48</v>
      </c>
      <c r="H167" s="4">
        <v>2</v>
      </c>
      <c r="I167" s="4">
        <v>299.99</v>
      </c>
      <c r="J167" s="4" t="s">
        <v>22</v>
      </c>
      <c r="K167" s="4" t="s">
        <v>65</v>
      </c>
      <c r="L167" s="4" t="s">
        <v>29</v>
      </c>
      <c r="M167" s="5">
        <v>44724</v>
      </c>
      <c r="N167" s="4">
        <v>599.98</v>
      </c>
      <c r="O167" s="35">
        <v>2</v>
      </c>
      <c r="P167" s="51">
        <f t="shared" ca="1" si="8"/>
        <v>46105.940228703701</v>
      </c>
      <c r="Q167" s="52">
        <f t="shared" si="9"/>
        <v>2649.83</v>
      </c>
      <c r="R167" s="35">
        <f t="shared" si="10"/>
        <v>26</v>
      </c>
      <c r="S167" s="52" t="str">
        <f t="shared" si="11"/>
        <v>ST</v>
      </c>
    </row>
    <row r="168" spans="1:19" ht="15.75" customHeight="1" x14ac:dyDescent="0.3">
      <c r="A168" s="4" t="s">
        <v>313</v>
      </c>
      <c r="B168" s="5">
        <v>45644</v>
      </c>
      <c r="C168" s="4" t="s">
        <v>134</v>
      </c>
      <c r="D168" s="4" t="s">
        <v>135</v>
      </c>
      <c r="E168" s="4" t="s">
        <v>33</v>
      </c>
      <c r="F168" s="4" t="s">
        <v>34</v>
      </c>
      <c r="G168" s="4" t="s">
        <v>35</v>
      </c>
      <c r="H168" s="4">
        <v>2</v>
      </c>
      <c r="I168" s="4">
        <v>59.99</v>
      </c>
      <c r="J168" s="4" t="s">
        <v>22</v>
      </c>
      <c r="K168" s="4" t="s">
        <v>52</v>
      </c>
      <c r="L168" s="4" t="s">
        <v>24</v>
      </c>
      <c r="M168" s="5">
        <v>45191</v>
      </c>
      <c r="N168" s="4">
        <v>119.98</v>
      </c>
      <c r="O168" s="35">
        <v>1</v>
      </c>
      <c r="P168" s="51">
        <f t="shared" ca="1" si="8"/>
        <v>46105.940228703701</v>
      </c>
      <c r="Q168" s="52">
        <f t="shared" si="9"/>
        <v>1229.8800000000001</v>
      </c>
      <c r="R168" s="35">
        <f t="shared" si="10"/>
        <v>29</v>
      </c>
      <c r="S168" s="52" t="str">
        <f t="shared" si="11"/>
        <v>EW</v>
      </c>
    </row>
    <row r="169" spans="1:19" ht="15.75" customHeight="1" x14ac:dyDescent="0.3">
      <c r="A169" s="4" t="s">
        <v>314</v>
      </c>
      <c r="B169" s="5">
        <v>45645</v>
      </c>
      <c r="C169" s="4" t="s">
        <v>184</v>
      </c>
      <c r="D169" s="4" t="s">
        <v>185</v>
      </c>
      <c r="E169" s="4" t="s">
        <v>119</v>
      </c>
      <c r="F169" s="4" t="s">
        <v>120</v>
      </c>
      <c r="G169" s="4" t="s">
        <v>21</v>
      </c>
      <c r="H169" s="4">
        <v>1</v>
      </c>
      <c r="I169" s="4">
        <v>89.99</v>
      </c>
      <c r="J169" s="4" t="s">
        <v>59</v>
      </c>
      <c r="K169" s="4" t="s">
        <v>23</v>
      </c>
      <c r="L169" s="4" t="s">
        <v>38</v>
      </c>
      <c r="M169" s="5">
        <v>44760</v>
      </c>
      <c r="N169" s="4">
        <v>89.99</v>
      </c>
      <c r="O169" s="35">
        <v>2</v>
      </c>
      <c r="P169" s="51">
        <f t="shared" ca="1" si="8"/>
        <v>46105.940228703701</v>
      </c>
      <c r="Q169" s="52">
        <f t="shared" si="9"/>
        <v>1809.84</v>
      </c>
      <c r="R169" s="35">
        <f t="shared" si="10"/>
        <v>34</v>
      </c>
      <c r="S169" s="52" t="str">
        <f t="shared" si="11"/>
        <v>DM</v>
      </c>
    </row>
    <row r="170" spans="1:19" ht="15.75" customHeight="1" x14ac:dyDescent="0.3">
      <c r="A170" s="4" t="s">
        <v>315</v>
      </c>
      <c r="B170" s="5">
        <v>45645</v>
      </c>
      <c r="C170" s="4" t="s">
        <v>149</v>
      </c>
      <c r="D170" s="4" t="s">
        <v>150</v>
      </c>
      <c r="E170" s="4" t="s">
        <v>63</v>
      </c>
      <c r="F170" s="4" t="s">
        <v>64</v>
      </c>
      <c r="G170" s="4" t="s">
        <v>21</v>
      </c>
      <c r="H170" s="4">
        <v>5</v>
      </c>
      <c r="I170" s="4">
        <v>899.99</v>
      </c>
      <c r="J170" s="4" t="s">
        <v>59</v>
      </c>
      <c r="K170" s="4" t="s">
        <v>65</v>
      </c>
      <c r="L170" s="4" t="s">
        <v>38</v>
      </c>
      <c r="M170" s="5">
        <v>44625</v>
      </c>
      <c r="N170" s="4">
        <v>4499.95</v>
      </c>
      <c r="O170" s="35">
        <v>2</v>
      </c>
      <c r="P170" s="51">
        <f t="shared" ca="1" si="8"/>
        <v>46105.940228703701</v>
      </c>
      <c r="Q170" s="52">
        <f t="shared" si="9"/>
        <v>7309.7999999999993</v>
      </c>
      <c r="R170" s="35">
        <f t="shared" si="10"/>
        <v>24</v>
      </c>
      <c r="S170" s="52" t="str">
        <f t="shared" si="11"/>
        <v>DK</v>
      </c>
    </row>
    <row r="171" spans="1:19" ht="15.75" customHeight="1" x14ac:dyDescent="0.3">
      <c r="A171" s="4" t="s">
        <v>316</v>
      </c>
      <c r="B171" s="5">
        <v>45646</v>
      </c>
      <c r="C171" s="4" t="s">
        <v>44</v>
      </c>
      <c r="D171" s="4" t="s">
        <v>45</v>
      </c>
      <c r="E171" s="4" t="s">
        <v>46</v>
      </c>
      <c r="F171" s="4" t="s">
        <v>47</v>
      </c>
      <c r="G171" s="4" t="s">
        <v>48</v>
      </c>
      <c r="H171" s="4">
        <v>2</v>
      </c>
      <c r="I171" s="4">
        <v>149.99</v>
      </c>
      <c r="J171" s="4" t="s">
        <v>22</v>
      </c>
      <c r="K171" s="4" t="s">
        <v>37</v>
      </c>
      <c r="L171" s="4" t="s">
        <v>24</v>
      </c>
      <c r="M171" s="5">
        <v>45239</v>
      </c>
      <c r="N171" s="4">
        <v>299.98</v>
      </c>
      <c r="O171" s="35">
        <v>1</v>
      </c>
      <c r="P171" s="51">
        <f t="shared" ca="1" si="8"/>
        <v>46105.940228703701</v>
      </c>
      <c r="Q171" s="52">
        <f t="shared" si="9"/>
        <v>6169.7400000000007</v>
      </c>
      <c r="R171" s="35">
        <f t="shared" si="10"/>
        <v>35</v>
      </c>
      <c r="S171" s="52" t="str">
        <f t="shared" si="11"/>
        <v>MB</v>
      </c>
    </row>
    <row r="172" spans="1:19" ht="15.75" customHeight="1" x14ac:dyDescent="0.3">
      <c r="A172" s="4" t="s">
        <v>317</v>
      </c>
      <c r="B172" s="5">
        <v>45648</v>
      </c>
      <c r="C172" s="4" t="s">
        <v>114</v>
      </c>
      <c r="D172" s="4" t="s">
        <v>115</v>
      </c>
      <c r="E172" s="4" t="s">
        <v>54</v>
      </c>
      <c r="F172" s="4" t="s">
        <v>55</v>
      </c>
      <c r="G172" s="4" t="s">
        <v>21</v>
      </c>
      <c r="H172" s="4">
        <v>2</v>
      </c>
      <c r="I172" s="4">
        <v>149.99</v>
      </c>
      <c r="J172" s="4" t="s">
        <v>59</v>
      </c>
      <c r="K172" s="4" t="s">
        <v>52</v>
      </c>
      <c r="L172" s="4" t="s">
        <v>29</v>
      </c>
      <c r="M172" s="5">
        <v>45280</v>
      </c>
      <c r="N172" s="4">
        <v>299.98</v>
      </c>
      <c r="O172" s="35">
        <v>1</v>
      </c>
      <c r="P172" s="51">
        <f t="shared" ca="1" si="8"/>
        <v>46105.940228703701</v>
      </c>
      <c r="Q172" s="52">
        <f t="shared" si="9"/>
        <v>1289.9000000000001</v>
      </c>
      <c r="R172" s="35">
        <f t="shared" si="10"/>
        <v>16</v>
      </c>
      <c r="S172" s="52" t="str">
        <f t="shared" si="11"/>
        <v>LM</v>
      </c>
    </row>
    <row r="173" spans="1:19" ht="15.75" customHeight="1" x14ac:dyDescent="0.3">
      <c r="A173" s="4" t="s">
        <v>318</v>
      </c>
      <c r="B173" s="5">
        <v>45648</v>
      </c>
      <c r="C173" s="4" t="s">
        <v>184</v>
      </c>
      <c r="D173" s="4" t="s">
        <v>185</v>
      </c>
      <c r="E173" s="4" t="s">
        <v>46</v>
      </c>
      <c r="F173" s="4" t="s">
        <v>47</v>
      </c>
      <c r="G173" s="4" t="s">
        <v>48</v>
      </c>
      <c r="H173" s="4">
        <v>3</v>
      </c>
      <c r="I173" s="4">
        <v>149.99</v>
      </c>
      <c r="J173" s="4" t="s">
        <v>59</v>
      </c>
      <c r="K173" s="4" t="s">
        <v>42</v>
      </c>
      <c r="L173" s="4" t="s">
        <v>38</v>
      </c>
      <c r="M173" s="5">
        <v>44522</v>
      </c>
      <c r="N173" s="4">
        <v>449.97</v>
      </c>
      <c r="O173" s="35">
        <v>3</v>
      </c>
      <c r="P173" s="51">
        <f t="shared" ca="1" si="8"/>
        <v>46105.940228703701</v>
      </c>
      <c r="Q173" s="52">
        <f t="shared" si="9"/>
        <v>1809.84</v>
      </c>
      <c r="R173" s="35">
        <f t="shared" si="10"/>
        <v>35</v>
      </c>
      <c r="S173" s="52" t="str">
        <f t="shared" si="11"/>
        <v>DM</v>
      </c>
    </row>
    <row r="174" spans="1:19" ht="15.75" customHeight="1" x14ac:dyDescent="0.3">
      <c r="A174" s="4" t="s">
        <v>319</v>
      </c>
      <c r="B174" s="5">
        <v>45649</v>
      </c>
      <c r="C174" s="4" t="s">
        <v>31</v>
      </c>
      <c r="D174" s="4" t="s">
        <v>32</v>
      </c>
      <c r="E174" s="4" t="s">
        <v>107</v>
      </c>
      <c r="F174" s="4" t="s">
        <v>108</v>
      </c>
      <c r="G174" s="4" t="s">
        <v>48</v>
      </c>
      <c r="H174" s="4">
        <v>2</v>
      </c>
      <c r="I174" s="4">
        <v>299.99</v>
      </c>
      <c r="J174" s="4" t="s">
        <v>36</v>
      </c>
      <c r="K174" s="4" t="s">
        <v>37</v>
      </c>
      <c r="L174" s="4" t="s">
        <v>24</v>
      </c>
      <c r="M174" s="5">
        <v>44721</v>
      </c>
      <c r="N174" s="4">
        <v>599.98</v>
      </c>
      <c r="O174" s="35">
        <v>2</v>
      </c>
      <c r="P174" s="51">
        <f t="shared" ca="1" si="8"/>
        <v>46105.940228703701</v>
      </c>
      <c r="Q174" s="52">
        <f t="shared" si="9"/>
        <v>3259.87</v>
      </c>
      <c r="R174" s="35">
        <f t="shared" si="10"/>
        <v>26</v>
      </c>
      <c r="S174" s="52" t="str">
        <f t="shared" si="11"/>
        <v>KS</v>
      </c>
    </row>
    <row r="175" spans="1:19" ht="15.75" customHeight="1" x14ac:dyDescent="0.3">
      <c r="A175" s="4" t="s">
        <v>320</v>
      </c>
      <c r="B175" s="5">
        <v>45654</v>
      </c>
      <c r="C175" s="4" t="s">
        <v>44</v>
      </c>
      <c r="D175" s="4" t="s">
        <v>45</v>
      </c>
      <c r="E175" s="4" t="s">
        <v>107</v>
      </c>
      <c r="F175" s="4" t="s">
        <v>108</v>
      </c>
      <c r="G175" s="4" t="s">
        <v>48</v>
      </c>
      <c r="H175" s="4">
        <v>2</v>
      </c>
      <c r="I175" s="4">
        <v>299.99</v>
      </c>
      <c r="J175" s="4" t="s">
        <v>22</v>
      </c>
      <c r="K175" s="4" t="s">
        <v>52</v>
      </c>
      <c r="L175" s="4" t="s">
        <v>24</v>
      </c>
      <c r="M175" s="5">
        <v>44771</v>
      </c>
      <c r="N175" s="4">
        <v>599.98</v>
      </c>
      <c r="O175" s="35">
        <v>2</v>
      </c>
      <c r="P175" s="51">
        <f t="shared" ca="1" si="8"/>
        <v>46105.940228703701</v>
      </c>
      <c r="Q175" s="52">
        <f t="shared" si="9"/>
        <v>6169.7400000000007</v>
      </c>
      <c r="R175" s="35">
        <f t="shared" si="10"/>
        <v>26</v>
      </c>
      <c r="S175" s="52" t="str">
        <f t="shared" si="11"/>
        <v>MB</v>
      </c>
    </row>
    <row r="176" spans="1:19" ht="15.75" customHeight="1" x14ac:dyDescent="0.3">
      <c r="A176" s="4" t="s">
        <v>321</v>
      </c>
      <c r="B176" s="5">
        <v>45654</v>
      </c>
      <c r="C176" s="4" t="s">
        <v>122</v>
      </c>
      <c r="D176" s="4" t="s">
        <v>123</v>
      </c>
      <c r="E176" s="4" t="s">
        <v>128</v>
      </c>
      <c r="F176" s="4" t="s">
        <v>129</v>
      </c>
      <c r="G176" s="4" t="s">
        <v>48</v>
      </c>
      <c r="H176" s="4">
        <v>4</v>
      </c>
      <c r="I176" s="4">
        <v>199.99</v>
      </c>
      <c r="J176" s="4" t="s">
        <v>28</v>
      </c>
      <c r="K176" s="4" t="s">
        <v>23</v>
      </c>
      <c r="L176" s="4" t="s">
        <v>24</v>
      </c>
      <c r="M176" s="5">
        <v>44523</v>
      </c>
      <c r="N176" s="4">
        <v>799.96</v>
      </c>
      <c r="O176" s="35">
        <v>3</v>
      </c>
      <c r="P176" s="51">
        <f t="shared" ca="1" si="8"/>
        <v>46105.940228703701</v>
      </c>
      <c r="Q176" s="52">
        <f t="shared" si="9"/>
        <v>6459.79</v>
      </c>
      <c r="R176" s="35">
        <f t="shared" si="10"/>
        <v>15</v>
      </c>
      <c r="S176" s="52" t="str">
        <f t="shared" si="11"/>
        <v>HR</v>
      </c>
    </row>
    <row r="177" spans="1:19" ht="15.75" customHeight="1" x14ac:dyDescent="0.3">
      <c r="A177" s="4" t="s">
        <v>322</v>
      </c>
      <c r="B177" s="5">
        <v>45655</v>
      </c>
      <c r="C177" s="4" t="s">
        <v>61</v>
      </c>
      <c r="D177" s="4" t="s">
        <v>62</v>
      </c>
      <c r="E177" s="4" t="s">
        <v>119</v>
      </c>
      <c r="F177" s="4" t="s">
        <v>120</v>
      </c>
      <c r="G177" s="4" t="s">
        <v>21</v>
      </c>
      <c r="H177" s="4">
        <v>1</v>
      </c>
      <c r="I177" s="4">
        <v>89.99</v>
      </c>
      <c r="J177" s="4" t="s">
        <v>28</v>
      </c>
      <c r="K177" s="4" t="s">
        <v>37</v>
      </c>
      <c r="L177" s="4" t="s">
        <v>29</v>
      </c>
      <c r="M177" s="5">
        <v>44591</v>
      </c>
      <c r="N177" s="4">
        <v>89.99</v>
      </c>
      <c r="O177" s="35">
        <v>2</v>
      </c>
      <c r="P177" s="51">
        <f t="shared" ca="1" si="8"/>
        <v>46105.940228703701</v>
      </c>
      <c r="Q177" s="52">
        <f t="shared" si="9"/>
        <v>3509.8999999999996</v>
      </c>
      <c r="R177" s="35">
        <f t="shared" si="10"/>
        <v>34</v>
      </c>
      <c r="S177" s="52" t="str">
        <f t="shared" si="11"/>
        <v>RT</v>
      </c>
    </row>
    <row r="178" spans="1:19" ht="15.75" customHeight="1" x14ac:dyDescent="0.3">
      <c r="A178" s="4" t="s">
        <v>323</v>
      </c>
      <c r="B178" s="5">
        <v>45655</v>
      </c>
      <c r="C178" s="4" t="s">
        <v>110</v>
      </c>
      <c r="D178" s="4" t="s">
        <v>111</v>
      </c>
      <c r="E178" s="4" t="s">
        <v>46</v>
      </c>
      <c r="F178" s="4" t="s">
        <v>47</v>
      </c>
      <c r="G178" s="4" t="s">
        <v>48</v>
      </c>
      <c r="H178" s="4">
        <v>5</v>
      </c>
      <c r="I178" s="4">
        <v>149.99</v>
      </c>
      <c r="J178" s="4" t="s">
        <v>22</v>
      </c>
      <c r="K178" s="4" t="s">
        <v>23</v>
      </c>
      <c r="L178" s="4" t="s">
        <v>29</v>
      </c>
      <c r="M178" s="5">
        <v>45347</v>
      </c>
      <c r="N178" s="4">
        <v>749.95</v>
      </c>
      <c r="O178" s="35">
        <v>0</v>
      </c>
      <c r="P178" s="51">
        <f t="shared" ca="1" si="8"/>
        <v>46105.940228703701</v>
      </c>
      <c r="Q178" s="52">
        <f t="shared" si="9"/>
        <v>4189.7700000000004</v>
      </c>
      <c r="R178" s="35">
        <f t="shared" si="10"/>
        <v>35</v>
      </c>
      <c r="S178" s="52" t="str">
        <f t="shared" si="11"/>
        <v>NC</v>
      </c>
    </row>
    <row r="179" spans="1:19" ht="15.75" customHeight="1" x14ac:dyDescent="0.3">
      <c r="A179" s="4" t="s">
        <v>324</v>
      </c>
      <c r="B179" s="5">
        <v>45657</v>
      </c>
      <c r="C179" s="4" t="s">
        <v>88</v>
      </c>
      <c r="D179" s="4" t="s">
        <v>89</v>
      </c>
      <c r="E179" s="4" t="s">
        <v>63</v>
      </c>
      <c r="F179" s="4" t="s">
        <v>64</v>
      </c>
      <c r="G179" s="4" t="s">
        <v>21</v>
      </c>
      <c r="H179" s="4">
        <v>1</v>
      </c>
      <c r="I179" s="4">
        <v>899.99</v>
      </c>
      <c r="J179" s="4" t="s">
        <v>36</v>
      </c>
      <c r="K179" s="4" t="s">
        <v>42</v>
      </c>
      <c r="L179" s="4" t="s">
        <v>29</v>
      </c>
      <c r="M179" s="5">
        <v>45050</v>
      </c>
      <c r="N179" s="4">
        <v>899.99</v>
      </c>
      <c r="O179" s="35">
        <v>1</v>
      </c>
      <c r="P179" s="51">
        <f t="shared" ca="1" si="8"/>
        <v>46105.940228703701</v>
      </c>
      <c r="Q179" s="52">
        <f t="shared" si="9"/>
        <v>15659.65</v>
      </c>
      <c r="R179" s="35">
        <f t="shared" si="10"/>
        <v>24</v>
      </c>
      <c r="S179" s="52" t="str">
        <f t="shared" si="11"/>
        <v>MC</v>
      </c>
    </row>
    <row r="180" spans="1:19" ht="15.75" customHeight="1" x14ac:dyDescent="0.3">
      <c r="A180" s="4" t="s">
        <v>325</v>
      </c>
      <c r="B180" s="5">
        <v>45660</v>
      </c>
      <c r="C180" s="4" t="s">
        <v>149</v>
      </c>
      <c r="D180" s="4" t="s">
        <v>150</v>
      </c>
      <c r="E180" s="4" t="s">
        <v>119</v>
      </c>
      <c r="F180" s="4" t="s">
        <v>120</v>
      </c>
      <c r="G180" s="4" t="s">
        <v>21</v>
      </c>
      <c r="H180" s="4">
        <v>2</v>
      </c>
      <c r="I180" s="4">
        <v>89.99</v>
      </c>
      <c r="J180" s="4" t="s">
        <v>28</v>
      </c>
      <c r="K180" s="4" t="s">
        <v>37</v>
      </c>
      <c r="L180" s="4" t="s">
        <v>29</v>
      </c>
      <c r="M180" s="5">
        <v>44564</v>
      </c>
      <c r="N180" s="4">
        <v>179.98</v>
      </c>
      <c r="O180" s="35">
        <v>3</v>
      </c>
      <c r="P180" s="51">
        <f t="shared" ca="1" si="8"/>
        <v>46105.940228703701</v>
      </c>
      <c r="Q180" s="52">
        <f t="shared" si="9"/>
        <v>7309.7999999999993</v>
      </c>
      <c r="R180" s="35">
        <f t="shared" si="10"/>
        <v>34</v>
      </c>
      <c r="S180" s="52" t="str">
        <f t="shared" si="11"/>
        <v>DK</v>
      </c>
    </row>
    <row r="181" spans="1:19" ht="15.75" customHeight="1" x14ac:dyDescent="0.3">
      <c r="A181" s="4" t="s">
        <v>326</v>
      </c>
      <c r="B181" s="5">
        <v>45661</v>
      </c>
      <c r="C181" s="4" t="s">
        <v>327</v>
      </c>
      <c r="D181" s="4" t="s">
        <v>328</v>
      </c>
      <c r="E181" s="4" t="s">
        <v>63</v>
      </c>
      <c r="F181" s="4" t="s">
        <v>64</v>
      </c>
      <c r="G181" s="4" t="s">
        <v>21</v>
      </c>
      <c r="H181" s="4">
        <v>1</v>
      </c>
      <c r="I181" s="4">
        <v>899.99</v>
      </c>
      <c r="J181" s="4" t="s">
        <v>36</v>
      </c>
      <c r="K181" s="4" t="s">
        <v>42</v>
      </c>
      <c r="L181" s="4" t="s">
        <v>38</v>
      </c>
      <c r="M181" s="5">
        <v>44752</v>
      </c>
      <c r="N181" s="4">
        <v>899.99</v>
      </c>
      <c r="O181" s="35">
        <v>2</v>
      </c>
      <c r="P181" s="51">
        <f t="shared" ca="1" si="8"/>
        <v>46105.940228703701</v>
      </c>
      <c r="Q181" s="52">
        <f t="shared" si="9"/>
        <v>1559.94</v>
      </c>
      <c r="R181" s="35">
        <f t="shared" si="10"/>
        <v>24</v>
      </c>
      <c r="S181" s="52" t="str">
        <f t="shared" si="11"/>
        <v>AE</v>
      </c>
    </row>
    <row r="182" spans="1:19" ht="15.75" customHeight="1" x14ac:dyDescent="0.3">
      <c r="A182" s="4" t="s">
        <v>329</v>
      </c>
      <c r="B182" s="5">
        <v>45663</v>
      </c>
      <c r="C182" s="4" t="s">
        <v>131</v>
      </c>
      <c r="D182" s="4" t="s">
        <v>132</v>
      </c>
      <c r="E182" s="4" t="s">
        <v>54</v>
      </c>
      <c r="F182" s="4" t="s">
        <v>55</v>
      </c>
      <c r="G182" s="4" t="s">
        <v>21</v>
      </c>
      <c r="H182" s="4">
        <v>5</v>
      </c>
      <c r="I182" s="4">
        <v>149.99</v>
      </c>
      <c r="J182" s="4" t="s">
        <v>36</v>
      </c>
      <c r="K182" s="4" t="s">
        <v>65</v>
      </c>
      <c r="L182" s="4" t="s">
        <v>29</v>
      </c>
      <c r="M182" s="5">
        <v>44824</v>
      </c>
      <c r="N182" s="4">
        <v>749.95</v>
      </c>
      <c r="O182" s="35">
        <v>2</v>
      </c>
      <c r="P182" s="51">
        <f t="shared" ca="1" si="8"/>
        <v>46105.940228703701</v>
      </c>
      <c r="Q182" s="52">
        <f t="shared" si="9"/>
        <v>2039.8000000000002</v>
      </c>
      <c r="R182" s="35">
        <f t="shared" si="10"/>
        <v>16</v>
      </c>
      <c r="S182" s="52" t="str">
        <f t="shared" si="11"/>
        <v>LA</v>
      </c>
    </row>
    <row r="183" spans="1:19" ht="15.75" customHeight="1" x14ac:dyDescent="0.3">
      <c r="A183" s="4" t="s">
        <v>330</v>
      </c>
      <c r="B183" s="5">
        <v>45663</v>
      </c>
      <c r="C183" s="4" t="s">
        <v>44</v>
      </c>
      <c r="D183" s="4" t="s">
        <v>45</v>
      </c>
      <c r="E183" s="4" t="s">
        <v>107</v>
      </c>
      <c r="F183" s="4" t="s">
        <v>108</v>
      </c>
      <c r="G183" s="4" t="s">
        <v>48</v>
      </c>
      <c r="H183" s="4">
        <v>3</v>
      </c>
      <c r="I183" s="4">
        <v>299.99</v>
      </c>
      <c r="J183" s="4" t="s">
        <v>22</v>
      </c>
      <c r="K183" s="4" t="s">
        <v>37</v>
      </c>
      <c r="L183" s="4" t="s">
        <v>38</v>
      </c>
      <c r="M183" s="5">
        <v>44422</v>
      </c>
      <c r="N183" s="4">
        <v>899.97</v>
      </c>
      <c r="O183" s="35">
        <v>3</v>
      </c>
      <c r="P183" s="51">
        <f t="shared" ca="1" si="8"/>
        <v>46105.940228703701</v>
      </c>
      <c r="Q183" s="52">
        <f t="shared" si="9"/>
        <v>6169.7400000000007</v>
      </c>
      <c r="R183" s="35">
        <f t="shared" si="10"/>
        <v>26</v>
      </c>
      <c r="S183" s="52" t="str">
        <f t="shared" si="11"/>
        <v>MB</v>
      </c>
    </row>
    <row r="184" spans="1:19" ht="15.75" customHeight="1" x14ac:dyDescent="0.3">
      <c r="A184" s="4" t="s">
        <v>331</v>
      </c>
      <c r="B184" s="5">
        <v>45666</v>
      </c>
      <c r="C184" s="4" t="s">
        <v>67</v>
      </c>
      <c r="D184" s="4" t="s">
        <v>68</v>
      </c>
      <c r="E184" s="4" t="s">
        <v>82</v>
      </c>
      <c r="F184" s="4" t="s">
        <v>83</v>
      </c>
      <c r="G184" s="4" t="s">
        <v>21</v>
      </c>
      <c r="H184" s="4">
        <v>3</v>
      </c>
      <c r="I184" s="4">
        <v>699.99</v>
      </c>
      <c r="J184" s="4" t="s">
        <v>28</v>
      </c>
      <c r="K184" s="4" t="s">
        <v>23</v>
      </c>
      <c r="L184" s="4" t="s">
        <v>29</v>
      </c>
      <c r="M184" s="5">
        <v>45105</v>
      </c>
      <c r="N184" s="4">
        <v>2099.9699999999998</v>
      </c>
      <c r="O184" s="35">
        <v>1</v>
      </c>
      <c r="P184" s="51">
        <f t="shared" ca="1" si="8"/>
        <v>46105.940228703701</v>
      </c>
      <c r="Q184" s="52">
        <f t="shared" si="9"/>
        <v>8009.7699999999995</v>
      </c>
      <c r="R184" s="35">
        <f t="shared" si="10"/>
        <v>31</v>
      </c>
      <c r="S184" s="52" t="str">
        <f t="shared" si="11"/>
        <v>KH</v>
      </c>
    </row>
    <row r="185" spans="1:19" ht="15.75" customHeight="1" x14ac:dyDescent="0.3">
      <c r="A185" s="4" t="s">
        <v>332</v>
      </c>
      <c r="B185" s="5">
        <v>45667</v>
      </c>
      <c r="C185" s="4" t="s">
        <v>110</v>
      </c>
      <c r="D185" s="4" t="s">
        <v>111</v>
      </c>
      <c r="E185" s="4" t="s">
        <v>128</v>
      </c>
      <c r="F185" s="4" t="s">
        <v>129</v>
      </c>
      <c r="G185" s="4" t="s">
        <v>48</v>
      </c>
      <c r="H185" s="4">
        <v>5</v>
      </c>
      <c r="I185" s="4">
        <v>199.99</v>
      </c>
      <c r="J185" s="4" t="s">
        <v>36</v>
      </c>
      <c r="K185" s="4" t="s">
        <v>23</v>
      </c>
      <c r="L185" s="4" t="s">
        <v>38</v>
      </c>
      <c r="M185" s="5">
        <v>44633</v>
      </c>
      <c r="N185" s="4">
        <v>999.95</v>
      </c>
      <c r="O185" s="35">
        <v>2</v>
      </c>
      <c r="P185" s="51">
        <f t="shared" ca="1" si="8"/>
        <v>46105.940228703701</v>
      </c>
      <c r="Q185" s="52">
        <f t="shared" si="9"/>
        <v>4189.7700000000004</v>
      </c>
      <c r="R185" s="35">
        <f t="shared" si="10"/>
        <v>15</v>
      </c>
      <c r="S185" s="52" t="str">
        <f t="shared" si="11"/>
        <v>NC</v>
      </c>
    </row>
    <row r="186" spans="1:19" ht="15.75" customHeight="1" x14ac:dyDescent="0.3">
      <c r="A186" s="4" t="s">
        <v>333</v>
      </c>
      <c r="B186" s="5">
        <v>45667</v>
      </c>
      <c r="C186" s="4" t="s">
        <v>95</v>
      </c>
      <c r="D186" s="4" t="s">
        <v>96</v>
      </c>
      <c r="E186" s="4" t="s">
        <v>19</v>
      </c>
      <c r="F186" s="4" t="s">
        <v>20</v>
      </c>
      <c r="G186" s="4" t="s">
        <v>21</v>
      </c>
      <c r="H186" s="4">
        <v>5</v>
      </c>
      <c r="I186" s="4">
        <v>249.99</v>
      </c>
      <c r="J186" s="4" t="s">
        <v>28</v>
      </c>
      <c r="K186" s="4" t="s">
        <v>37</v>
      </c>
      <c r="L186" s="4" t="s">
        <v>24</v>
      </c>
      <c r="M186" s="5">
        <v>45330</v>
      </c>
      <c r="N186" s="4">
        <v>1249.95</v>
      </c>
      <c r="O186" s="35">
        <v>0</v>
      </c>
      <c r="P186" s="51">
        <f t="shared" ca="1" si="8"/>
        <v>46105.940228703701</v>
      </c>
      <c r="Q186" s="52">
        <f t="shared" si="9"/>
        <v>4789.7900000000009</v>
      </c>
      <c r="R186" s="35">
        <f t="shared" si="10"/>
        <v>26</v>
      </c>
      <c r="S186" s="52" t="str">
        <f t="shared" si="11"/>
        <v>VS</v>
      </c>
    </row>
    <row r="187" spans="1:19" ht="15.75" customHeight="1" x14ac:dyDescent="0.3">
      <c r="A187" s="4" t="s">
        <v>334</v>
      </c>
      <c r="B187" s="5">
        <v>45668</v>
      </c>
      <c r="C187" s="4" t="s">
        <v>140</v>
      </c>
      <c r="D187" s="4" t="s">
        <v>141</v>
      </c>
      <c r="E187" s="4" t="s">
        <v>54</v>
      </c>
      <c r="F187" s="4" t="s">
        <v>55</v>
      </c>
      <c r="G187" s="4" t="s">
        <v>21</v>
      </c>
      <c r="H187" s="4">
        <v>4</v>
      </c>
      <c r="I187" s="4">
        <v>149.99</v>
      </c>
      <c r="J187" s="4" t="s">
        <v>59</v>
      </c>
      <c r="K187" s="4" t="s">
        <v>65</v>
      </c>
      <c r="L187" s="4" t="s">
        <v>38</v>
      </c>
      <c r="M187" s="5">
        <v>44536</v>
      </c>
      <c r="N187" s="4">
        <v>599.96</v>
      </c>
      <c r="O187" s="35">
        <v>3</v>
      </c>
      <c r="P187" s="51">
        <f t="shared" ca="1" si="8"/>
        <v>46105.940228703701</v>
      </c>
      <c r="Q187" s="52">
        <f t="shared" si="9"/>
        <v>2649.83</v>
      </c>
      <c r="R187" s="35">
        <f t="shared" si="10"/>
        <v>16</v>
      </c>
      <c r="S187" s="52" t="str">
        <f t="shared" si="11"/>
        <v>ST</v>
      </c>
    </row>
    <row r="188" spans="1:19" ht="15.75" customHeight="1" x14ac:dyDescent="0.3">
      <c r="A188" s="4" t="s">
        <v>335</v>
      </c>
      <c r="B188" s="5">
        <v>45668</v>
      </c>
      <c r="C188" s="4" t="s">
        <v>80</v>
      </c>
      <c r="D188" s="4" t="s">
        <v>81</v>
      </c>
      <c r="E188" s="4" t="s">
        <v>82</v>
      </c>
      <c r="F188" s="4" t="s">
        <v>83</v>
      </c>
      <c r="G188" s="4" t="s">
        <v>21</v>
      </c>
      <c r="H188" s="4">
        <v>3</v>
      </c>
      <c r="I188" s="4">
        <v>699.99</v>
      </c>
      <c r="J188" s="4" t="s">
        <v>22</v>
      </c>
      <c r="K188" s="4" t="s">
        <v>42</v>
      </c>
      <c r="L188" s="4" t="s">
        <v>29</v>
      </c>
      <c r="M188" s="5">
        <v>44602</v>
      </c>
      <c r="N188" s="4">
        <v>2099.9699999999998</v>
      </c>
      <c r="O188" s="35">
        <v>2</v>
      </c>
      <c r="P188" s="51">
        <f t="shared" ca="1" si="8"/>
        <v>46105.940228703701</v>
      </c>
      <c r="Q188" s="52">
        <f t="shared" si="9"/>
        <v>4199.9399999999996</v>
      </c>
      <c r="R188" s="35">
        <f t="shared" si="10"/>
        <v>31</v>
      </c>
      <c r="S188" s="52" t="str">
        <f t="shared" si="11"/>
        <v>MR</v>
      </c>
    </row>
    <row r="189" spans="1:19" ht="15.75" customHeight="1" x14ac:dyDescent="0.3">
      <c r="A189" s="4" t="s">
        <v>336</v>
      </c>
      <c r="B189" s="5">
        <v>45670</v>
      </c>
      <c r="C189" s="4" t="s">
        <v>295</v>
      </c>
      <c r="D189" s="4" t="s">
        <v>296</v>
      </c>
      <c r="E189" s="4" t="s">
        <v>116</v>
      </c>
      <c r="F189" s="4" t="s">
        <v>117</v>
      </c>
      <c r="G189" s="4" t="s">
        <v>35</v>
      </c>
      <c r="H189" s="4">
        <v>1</v>
      </c>
      <c r="I189" s="4">
        <v>79.989999999999995</v>
      </c>
      <c r="J189" s="4" t="s">
        <v>28</v>
      </c>
      <c r="K189" s="4" t="s">
        <v>37</v>
      </c>
      <c r="L189" s="4" t="s">
        <v>24</v>
      </c>
      <c r="M189" s="5">
        <v>45322</v>
      </c>
      <c r="N189" s="4">
        <v>79.989999999999995</v>
      </c>
      <c r="O189" s="35">
        <v>0</v>
      </c>
      <c r="P189" s="51">
        <f t="shared" ca="1" si="8"/>
        <v>46105.940228703701</v>
      </c>
      <c r="Q189" s="52">
        <f t="shared" si="9"/>
        <v>4829.8899999999994</v>
      </c>
      <c r="R189" s="35">
        <f t="shared" si="10"/>
        <v>14</v>
      </c>
      <c r="S189" s="52" t="str">
        <f t="shared" si="11"/>
        <v>DW</v>
      </c>
    </row>
    <row r="190" spans="1:19" ht="15.75" customHeight="1" x14ac:dyDescent="0.3">
      <c r="A190" s="4" t="s">
        <v>337</v>
      </c>
      <c r="B190" s="5">
        <v>45670</v>
      </c>
      <c r="C190" s="4" t="s">
        <v>88</v>
      </c>
      <c r="D190" s="4" t="s">
        <v>89</v>
      </c>
      <c r="E190" s="4" t="s">
        <v>107</v>
      </c>
      <c r="F190" s="4" t="s">
        <v>108</v>
      </c>
      <c r="G190" s="4" t="s">
        <v>48</v>
      </c>
      <c r="H190" s="4">
        <v>1</v>
      </c>
      <c r="I190" s="4">
        <v>299.99</v>
      </c>
      <c r="J190" s="4" t="s">
        <v>28</v>
      </c>
      <c r="K190" s="4" t="s">
        <v>42</v>
      </c>
      <c r="L190" s="4" t="s">
        <v>24</v>
      </c>
      <c r="M190" s="5">
        <v>44436</v>
      </c>
      <c r="N190" s="4">
        <v>299.99</v>
      </c>
      <c r="O190" s="35">
        <v>3</v>
      </c>
      <c r="P190" s="51">
        <f t="shared" ca="1" si="8"/>
        <v>46105.940228703701</v>
      </c>
      <c r="Q190" s="52">
        <f t="shared" si="9"/>
        <v>15659.65</v>
      </c>
      <c r="R190" s="35">
        <f t="shared" si="10"/>
        <v>26</v>
      </c>
      <c r="S190" s="52" t="str">
        <f t="shared" si="11"/>
        <v>MC</v>
      </c>
    </row>
    <row r="191" spans="1:19" ht="15.75" customHeight="1" x14ac:dyDescent="0.3">
      <c r="A191" s="4" t="s">
        <v>338</v>
      </c>
      <c r="B191" s="5">
        <v>45671</v>
      </c>
      <c r="C191" s="4" t="s">
        <v>160</v>
      </c>
      <c r="D191" s="4" t="s">
        <v>161</v>
      </c>
      <c r="E191" s="4" t="s">
        <v>19</v>
      </c>
      <c r="F191" s="4" t="s">
        <v>20</v>
      </c>
      <c r="G191" s="4" t="s">
        <v>21</v>
      </c>
      <c r="H191" s="4">
        <v>4</v>
      </c>
      <c r="I191" s="4">
        <v>249.99</v>
      </c>
      <c r="J191" s="4" t="s">
        <v>28</v>
      </c>
      <c r="K191" s="4" t="s">
        <v>42</v>
      </c>
      <c r="L191" s="4" t="s">
        <v>29</v>
      </c>
      <c r="M191" s="5">
        <v>44460</v>
      </c>
      <c r="N191" s="4">
        <v>999.96</v>
      </c>
      <c r="O191" s="35">
        <v>3</v>
      </c>
      <c r="P191" s="51">
        <f t="shared" ca="1" si="8"/>
        <v>46105.940228703701</v>
      </c>
      <c r="Q191" s="52">
        <f t="shared" si="9"/>
        <v>5649.84</v>
      </c>
      <c r="R191" s="35">
        <f t="shared" si="10"/>
        <v>26</v>
      </c>
      <c r="S191" s="52" t="str">
        <f t="shared" si="11"/>
        <v>BC</v>
      </c>
    </row>
    <row r="192" spans="1:19" ht="15.75" customHeight="1" x14ac:dyDescent="0.3">
      <c r="A192" s="4" t="s">
        <v>339</v>
      </c>
      <c r="B192" s="5">
        <v>45671</v>
      </c>
      <c r="C192" s="4" t="s">
        <v>122</v>
      </c>
      <c r="D192" s="4" t="s">
        <v>123</v>
      </c>
      <c r="E192" s="4" t="s">
        <v>54</v>
      </c>
      <c r="F192" s="4" t="s">
        <v>55</v>
      </c>
      <c r="G192" s="4" t="s">
        <v>21</v>
      </c>
      <c r="H192" s="4">
        <v>2</v>
      </c>
      <c r="I192" s="4">
        <v>149.99</v>
      </c>
      <c r="J192" s="4" t="s">
        <v>22</v>
      </c>
      <c r="K192" s="4" t="s">
        <v>42</v>
      </c>
      <c r="L192" s="4" t="s">
        <v>38</v>
      </c>
      <c r="M192" s="5">
        <v>44913</v>
      </c>
      <c r="N192" s="4">
        <v>299.98</v>
      </c>
      <c r="O192" s="35">
        <v>2</v>
      </c>
      <c r="P192" s="51">
        <f t="shared" ca="1" si="8"/>
        <v>46105.940228703701</v>
      </c>
      <c r="Q192" s="52">
        <f t="shared" si="9"/>
        <v>6459.79</v>
      </c>
      <c r="R192" s="35">
        <f t="shared" si="10"/>
        <v>16</v>
      </c>
      <c r="S192" s="52" t="str">
        <f t="shared" si="11"/>
        <v>HR</v>
      </c>
    </row>
    <row r="193" spans="1:19" ht="15.75" customHeight="1" x14ac:dyDescent="0.3">
      <c r="A193" s="4" t="s">
        <v>340</v>
      </c>
      <c r="B193" s="5">
        <v>45671</v>
      </c>
      <c r="C193" s="4" t="s">
        <v>236</v>
      </c>
      <c r="D193" s="4" t="s">
        <v>237</v>
      </c>
      <c r="E193" s="4" t="s">
        <v>107</v>
      </c>
      <c r="F193" s="4" t="s">
        <v>108</v>
      </c>
      <c r="G193" s="4" t="s">
        <v>48</v>
      </c>
      <c r="H193" s="4">
        <v>3</v>
      </c>
      <c r="I193" s="4">
        <v>299.99</v>
      </c>
      <c r="J193" s="4" t="s">
        <v>28</v>
      </c>
      <c r="K193" s="4" t="s">
        <v>37</v>
      </c>
      <c r="L193" s="4" t="s">
        <v>24</v>
      </c>
      <c r="M193" s="5">
        <v>45204</v>
      </c>
      <c r="N193" s="4">
        <v>899.97</v>
      </c>
      <c r="O193" s="35">
        <v>1</v>
      </c>
      <c r="P193" s="51">
        <f t="shared" ca="1" si="8"/>
        <v>46105.940228703701</v>
      </c>
      <c r="Q193" s="52">
        <f t="shared" si="9"/>
        <v>6349.83</v>
      </c>
      <c r="R193" s="35">
        <f t="shared" si="10"/>
        <v>26</v>
      </c>
      <c r="S193" s="52" t="str">
        <f t="shared" si="11"/>
        <v>SP</v>
      </c>
    </row>
    <row r="194" spans="1:19" ht="15.75" customHeight="1" x14ac:dyDescent="0.3">
      <c r="A194" s="4" t="s">
        <v>341</v>
      </c>
      <c r="B194" s="5">
        <v>45673</v>
      </c>
      <c r="C194" s="4" t="s">
        <v>228</v>
      </c>
      <c r="D194" s="4" t="s">
        <v>229</v>
      </c>
      <c r="E194" s="4" t="s">
        <v>128</v>
      </c>
      <c r="F194" s="4" t="s">
        <v>129</v>
      </c>
      <c r="G194" s="4" t="s">
        <v>48</v>
      </c>
      <c r="H194" s="4">
        <v>4</v>
      </c>
      <c r="I194" s="4">
        <v>199.99</v>
      </c>
      <c r="J194" s="4" t="s">
        <v>59</v>
      </c>
      <c r="K194" s="4" t="s">
        <v>37</v>
      </c>
      <c r="L194" s="4" t="s">
        <v>38</v>
      </c>
      <c r="M194" s="5">
        <v>44544</v>
      </c>
      <c r="N194" s="4">
        <v>799.96</v>
      </c>
      <c r="O194" s="35">
        <v>3</v>
      </c>
      <c r="P194" s="51">
        <f t="shared" ca="1" si="8"/>
        <v>46105.940228703701</v>
      </c>
      <c r="Q194" s="52">
        <f t="shared" si="9"/>
        <v>6989.7699999999986</v>
      </c>
      <c r="R194" s="35">
        <f t="shared" si="10"/>
        <v>15</v>
      </c>
      <c r="S194" s="52" t="str">
        <f t="shared" si="11"/>
        <v>LR</v>
      </c>
    </row>
    <row r="195" spans="1:19" ht="15.75" customHeight="1" x14ac:dyDescent="0.3">
      <c r="A195" s="4" t="s">
        <v>342</v>
      </c>
      <c r="B195" s="5">
        <v>45673</v>
      </c>
      <c r="C195" s="4" t="s">
        <v>213</v>
      </c>
      <c r="D195" s="4" t="s">
        <v>214</v>
      </c>
      <c r="E195" s="4" t="s">
        <v>107</v>
      </c>
      <c r="F195" s="4" t="s">
        <v>108</v>
      </c>
      <c r="G195" s="4" t="s">
        <v>48</v>
      </c>
      <c r="H195" s="4">
        <v>5</v>
      </c>
      <c r="I195" s="4">
        <v>299.99</v>
      </c>
      <c r="J195" s="4" t="s">
        <v>59</v>
      </c>
      <c r="K195" s="4" t="s">
        <v>23</v>
      </c>
      <c r="L195" s="4" t="s">
        <v>24</v>
      </c>
      <c r="M195" s="5">
        <v>44431</v>
      </c>
      <c r="N195" s="4">
        <v>1499.95</v>
      </c>
      <c r="O195" s="35">
        <v>3</v>
      </c>
      <c r="P195" s="51">
        <f t="shared" ref="P195:P251" ca="1" si="12">IF(A195&lt;&gt;"", IF(P195="", NOW(), P195), "")</f>
        <v>46105.940228703701</v>
      </c>
      <c r="Q195" s="52">
        <f t="shared" ref="Q195:Q251" si="13">SUMIFS(N:N, C:C, C195)</f>
        <v>3649.8599999999997</v>
      </c>
      <c r="R195" s="35">
        <f t="shared" ref="R195:R251" si="14">COUNTIF($F:$F,F195)</f>
        <v>26</v>
      </c>
      <c r="S195" s="52" t="str">
        <f t="shared" ref="S195:S251" si="15">LEFT(D195,1) &amp; MID(D195,FIND(" ",D195)+1,1)</f>
        <v>EH</v>
      </c>
    </row>
    <row r="196" spans="1:19" ht="15.75" customHeight="1" x14ac:dyDescent="0.3">
      <c r="A196" s="4" t="s">
        <v>343</v>
      </c>
      <c r="B196" s="5">
        <v>45673</v>
      </c>
      <c r="C196" s="4" t="s">
        <v>61</v>
      </c>
      <c r="D196" s="4" t="s">
        <v>62</v>
      </c>
      <c r="E196" s="4" t="s">
        <v>46</v>
      </c>
      <c r="F196" s="4" t="s">
        <v>47</v>
      </c>
      <c r="G196" s="4" t="s">
        <v>48</v>
      </c>
      <c r="H196" s="4">
        <v>3</v>
      </c>
      <c r="I196" s="4">
        <v>149.99</v>
      </c>
      <c r="J196" s="4" t="s">
        <v>28</v>
      </c>
      <c r="K196" s="4" t="s">
        <v>65</v>
      </c>
      <c r="L196" s="4" t="s">
        <v>38</v>
      </c>
      <c r="M196" s="5">
        <v>44395</v>
      </c>
      <c r="N196" s="4">
        <v>449.97</v>
      </c>
      <c r="O196" s="35">
        <v>3</v>
      </c>
      <c r="P196" s="51">
        <f t="shared" ca="1" si="12"/>
        <v>46105.940228703701</v>
      </c>
      <c r="Q196" s="52">
        <f t="shared" si="13"/>
        <v>3509.8999999999996</v>
      </c>
      <c r="R196" s="35">
        <f t="shared" si="14"/>
        <v>35</v>
      </c>
      <c r="S196" s="52" t="str">
        <f t="shared" si="15"/>
        <v>RT</v>
      </c>
    </row>
    <row r="197" spans="1:19" ht="15.75" customHeight="1" x14ac:dyDescent="0.3">
      <c r="A197" s="4" t="s">
        <v>344</v>
      </c>
      <c r="B197" s="5">
        <v>45676</v>
      </c>
      <c r="C197" s="4" t="s">
        <v>131</v>
      </c>
      <c r="D197" s="4" t="s">
        <v>132</v>
      </c>
      <c r="E197" s="4" t="s">
        <v>33</v>
      </c>
      <c r="F197" s="4" t="s">
        <v>34</v>
      </c>
      <c r="G197" s="4" t="s">
        <v>35</v>
      </c>
      <c r="H197" s="4">
        <v>5</v>
      </c>
      <c r="I197" s="4">
        <v>59.99</v>
      </c>
      <c r="J197" s="4" t="s">
        <v>59</v>
      </c>
      <c r="K197" s="4" t="s">
        <v>65</v>
      </c>
      <c r="L197" s="4" t="s">
        <v>24</v>
      </c>
      <c r="M197" s="5">
        <v>44642</v>
      </c>
      <c r="N197" s="4">
        <v>299.95</v>
      </c>
      <c r="O197" s="35">
        <v>2</v>
      </c>
      <c r="P197" s="51">
        <f t="shared" ca="1" si="12"/>
        <v>46105.940228703701</v>
      </c>
      <c r="Q197" s="52">
        <f t="shared" si="13"/>
        <v>2039.8000000000002</v>
      </c>
      <c r="R197" s="35">
        <f t="shared" si="14"/>
        <v>29</v>
      </c>
      <c r="S197" s="52" t="str">
        <f t="shared" si="15"/>
        <v>LA</v>
      </c>
    </row>
    <row r="198" spans="1:19" ht="15.75" customHeight="1" x14ac:dyDescent="0.3">
      <c r="A198" s="4" t="s">
        <v>345</v>
      </c>
      <c r="B198" s="5">
        <v>45682</v>
      </c>
      <c r="C198" s="4" t="s">
        <v>70</v>
      </c>
      <c r="D198" s="4" t="s">
        <v>71</v>
      </c>
      <c r="E198" s="4" t="s">
        <v>33</v>
      </c>
      <c r="F198" s="4" t="s">
        <v>34</v>
      </c>
      <c r="G198" s="4" t="s">
        <v>35</v>
      </c>
      <c r="H198" s="4">
        <v>4</v>
      </c>
      <c r="I198" s="4">
        <v>59.99</v>
      </c>
      <c r="J198" s="4" t="s">
        <v>59</v>
      </c>
      <c r="K198" s="4" t="s">
        <v>65</v>
      </c>
      <c r="L198" s="4" t="s">
        <v>38</v>
      </c>
      <c r="M198" s="5">
        <v>44564</v>
      </c>
      <c r="N198" s="4">
        <v>239.96</v>
      </c>
      <c r="O198" s="35">
        <v>3</v>
      </c>
      <c r="P198" s="51">
        <f t="shared" ca="1" si="12"/>
        <v>46105.940228703701</v>
      </c>
      <c r="Q198" s="52">
        <f t="shared" si="13"/>
        <v>1979.89</v>
      </c>
      <c r="R198" s="35">
        <f t="shared" si="14"/>
        <v>29</v>
      </c>
      <c r="S198" s="52" t="str">
        <f t="shared" si="15"/>
        <v>SG</v>
      </c>
    </row>
    <row r="199" spans="1:19" ht="15.75" customHeight="1" x14ac:dyDescent="0.3">
      <c r="A199" s="4" t="s">
        <v>346</v>
      </c>
      <c r="B199" s="5">
        <v>45683</v>
      </c>
      <c r="C199" s="4" t="s">
        <v>50</v>
      </c>
      <c r="D199" s="4" t="s">
        <v>51</v>
      </c>
      <c r="E199" s="4" t="s">
        <v>19</v>
      </c>
      <c r="F199" s="4" t="s">
        <v>20</v>
      </c>
      <c r="G199" s="4" t="s">
        <v>21</v>
      </c>
      <c r="H199" s="4">
        <v>4</v>
      </c>
      <c r="I199" s="4">
        <v>249.99</v>
      </c>
      <c r="J199" s="4" t="s">
        <v>59</v>
      </c>
      <c r="K199" s="4" t="s">
        <v>23</v>
      </c>
      <c r="L199" s="4" t="s">
        <v>29</v>
      </c>
      <c r="M199" s="5">
        <v>45217</v>
      </c>
      <c r="N199" s="4">
        <v>999.96</v>
      </c>
      <c r="O199" s="35">
        <v>1</v>
      </c>
      <c r="P199" s="51">
        <f t="shared" ca="1" si="12"/>
        <v>46105.940228703701</v>
      </c>
      <c r="Q199" s="52">
        <f t="shared" si="13"/>
        <v>8269.7900000000009</v>
      </c>
      <c r="R199" s="35">
        <f t="shared" si="14"/>
        <v>26</v>
      </c>
      <c r="S199" s="52" t="str">
        <f t="shared" si="15"/>
        <v>DN</v>
      </c>
    </row>
    <row r="200" spans="1:19" ht="15.75" customHeight="1" x14ac:dyDescent="0.3">
      <c r="A200" s="4" t="s">
        <v>347</v>
      </c>
      <c r="B200" s="5">
        <v>45686</v>
      </c>
      <c r="C200" s="4" t="s">
        <v>254</v>
      </c>
      <c r="D200" s="4" t="s">
        <v>255</v>
      </c>
      <c r="E200" s="4" t="s">
        <v>63</v>
      </c>
      <c r="F200" s="4" t="s">
        <v>64</v>
      </c>
      <c r="G200" s="4" t="s">
        <v>21</v>
      </c>
      <c r="H200" s="4">
        <v>4</v>
      </c>
      <c r="I200" s="4">
        <v>899.99</v>
      </c>
      <c r="J200" s="4" t="s">
        <v>36</v>
      </c>
      <c r="K200" s="4" t="s">
        <v>23</v>
      </c>
      <c r="L200" s="4" t="s">
        <v>24</v>
      </c>
      <c r="M200" s="5">
        <v>44734</v>
      </c>
      <c r="N200" s="4">
        <v>3599.96</v>
      </c>
      <c r="O200" s="35">
        <v>2</v>
      </c>
      <c r="P200" s="51">
        <f t="shared" ca="1" si="12"/>
        <v>46105.940228703701</v>
      </c>
      <c r="Q200" s="52">
        <f t="shared" si="13"/>
        <v>4749.91</v>
      </c>
      <c r="R200" s="35">
        <f t="shared" si="14"/>
        <v>24</v>
      </c>
      <c r="S200" s="52" t="str">
        <f t="shared" si="15"/>
        <v>WW</v>
      </c>
    </row>
    <row r="201" spans="1:19" ht="15.75" customHeight="1" x14ac:dyDescent="0.3">
      <c r="A201" s="4" t="s">
        <v>348</v>
      </c>
      <c r="B201" s="5">
        <v>45686</v>
      </c>
      <c r="C201" s="4" t="s">
        <v>88</v>
      </c>
      <c r="D201" s="4" t="s">
        <v>89</v>
      </c>
      <c r="E201" s="4" t="s">
        <v>107</v>
      </c>
      <c r="F201" s="4" t="s">
        <v>108</v>
      </c>
      <c r="G201" s="4" t="s">
        <v>48</v>
      </c>
      <c r="H201" s="4">
        <v>3</v>
      </c>
      <c r="I201" s="4">
        <v>299.99</v>
      </c>
      <c r="J201" s="4" t="s">
        <v>59</v>
      </c>
      <c r="K201" s="4" t="s">
        <v>52</v>
      </c>
      <c r="L201" s="4" t="s">
        <v>38</v>
      </c>
      <c r="M201" s="5">
        <v>44952</v>
      </c>
      <c r="N201" s="4">
        <v>899.97</v>
      </c>
      <c r="O201" s="35">
        <v>2</v>
      </c>
      <c r="P201" s="51">
        <f t="shared" ca="1" si="12"/>
        <v>46105.940228703701</v>
      </c>
      <c r="Q201" s="52">
        <f t="shared" si="13"/>
        <v>15659.65</v>
      </c>
      <c r="R201" s="35">
        <f t="shared" si="14"/>
        <v>26</v>
      </c>
      <c r="S201" s="52" t="str">
        <f t="shared" si="15"/>
        <v>MC</v>
      </c>
    </row>
    <row r="202" spans="1:19" ht="15.75" customHeight="1" x14ac:dyDescent="0.3">
      <c r="A202" s="4" t="s">
        <v>349</v>
      </c>
      <c r="B202" s="5">
        <v>45686</v>
      </c>
      <c r="C202" s="4" t="s">
        <v>295</v>
      </c>
      <c r="D202" s="4" t="s">
        <v>296</v>
      </c>
      <c r="E202" s="4" t="s">
        <v>82</v>
      </c>
      <c r="F202" s="4" t="s">
        <v>83</v>
      </c>
      <c r="G202" s="4" t="s">
        <v>21</v>
      </c>
      <c r="H202" s="4">
        <v>2</v>
      </c>
      <c r="I202" s="4">
        <v>699.99</v>
      </c>
      <c r="J202" s="4" t="s">
        <v>59</v>
      </c>
      <c r="K202" s="4" t="s">
        <v>23</v>
      </c>
      <c r="L202" s="4" t="s">
        <v>29</v>
      </c>
      <c r="M202" s="5">
        <v>44681</v>
      </c>
      <c r="N202" s="4">
        <v>1399.98</v>
      </c>
      <c r="O202" s="35">
        <v>2</v>
      </c>
      <c r="P202" s="51">
        <f t="shared" ca="1" si="12"/>
        <v>46105.940228703701</v>
      </c>
      <c r="Q202" s="52">
        <f t="shared" si="13"/>
        <v>4829.8899999999994</v>
      </c>
      <c r="R202" s="35">
        <f t="shared" si="14"/>
        <v>31</v>
      </c>
      <c r="S202" s="52" t="str">
        <f t="shared" si="15"/>
        <v>DW</v>
      </c>
    </row>
    <row r="203" spans="1:19" ht="15.75" customHeight="1" x14ac:dyDescent="0.3">
      <c r="A203" s="4" t="s">
        <v>350</v>
      </c>
      <c r="B203" s="5">
        <v>45688</v>
      </c>
      <c r="C203" s="4" t="s">
        <v>67</v>
      </c>
      <c r="D203" s="4" t="s">
        <v>68</v>
      </c>
      <c r="E203" s="4" t="s">
        <v>82</v>
      </c>
      <c r="F203" s="4" t="s">
        <v>83</v>
      </c>
      <c r="G203" s="4" t="s">
        <v>21</v>
      </c>
      <c r="H203" s="4">
        <v>4</v>
      </c>
      <c r="I203" s="4">
        <v>699.99</v>
      </c>
      <c r="J203" s="4" t="s">
        <v>59</v>
      </c>
      <c r="K203" s="4" t="s">
        <v>52</v>
      </c>
      <c r="L203" s="4" t="s">
        <v>29</v>
      </c>
      <c r="M203" s="5">
        <v>44692</v>
      </c>
      <c r="N203" s="4">
        <v>2799.96</v>
      </c>
      <c r="O203" s="35">
        <v>2</v>
      </c>
      <c r="P203" s="51">
        <f t="shared" ca="1" si="12"/>
        <v>46105.940228703701</v>
      </c>
      <c r="Q203" s="52">
        <f t="shared" si="13"/>
        <v>8009.7699999999995</v>
      </c>
      <c r="R203" s="35">
        <f t="shared" si="14"/>
        <v>31</v>
      </c>
      <c r="S203" s="52" t="str">
        <f t="shared" si="15"/>
        <v>KH</v>
      </c>
    </row>
    <row r="204" spans="1:19" ht="15.75" customHeight="1" x14ac:dyDescent="0.3">
      <c r="A204" s="4" t="s">
        <v>351</v>
      </c>
      <c r="B204" s="5">
        <v>45688</v>
      </c>
      <c r="C204" s="4" t="s">
        <v>125</v>
      </c>
      <c r="D204" s="4" t="s">
        <v>126</v>
      </c>
      <c r="E204" s="4" t="s">
        <v>119</v>
      </c>
      <c r="F204" s="4" t="s">
        <v>120</v>
      </c>
      <c r="G204" s="4" t="s">
        <v>21</v>
      </c>
      <c r="H204" s="4">
        <v>2</v>
      </c>
      <c r="I204" s="4">
        <v>89.99</v>
      </c>
      <c r="J204" s="4" t="s">
        <v>59</v>
      </c>
      <c r="K204" s="4" t="s">
        <v>37</v>
      </c>
      <c r="L204" s="4" t="s">
        <v>24</v>
      </c>
      <c r="M204" s="5">
        <v>44777</v>
      </c>
      <c r="N204" s="4">
        <v>179.98</v>
      </c>
      <c r="O204" s="35">
        <v>2</v>
      </c>
      <c r="P204" s="51">
        <f t="shared" ca="1" si="12"/>
        <v>46105.940228703701</v>
      </c>
      <c r="Q204" s="52">
        <f t="shared" si="13"/>
        <v>11919.769999999999</v>
      </c>
      <c r="R204" s="35">
        <f t="shared" si="14"/>
        <v>34</v>
      </c>
      <c r="S204" s="52" t="str">
        <f t="shared" si="15"/>
        <v>EM</v>
      </c>
    </row>
    <row r="205" spans="1:19" ht="15.75" customHeight="1" x14ac:dyDescent="0.3">
      <c r="A205" s="4" t="s">
        <v>352</v>
      </c>
      <c r="B205" s="5">
        <v>45688</v>
      </c>
      <c r="C205" s="4" t="s">
        <v>44</v>
      </c>
      <c r="D205" s="4" t="s">
        <v>45</v>
      </c>
      <c r="E205" s="4" t="s">
        <v>119</v>
      </c>
      <c r="F205" s="4" t="s">
        <v>120</v>
      </c>
      <c r="G205" s="4" t="s">
        <v>21</v>
      </c>
      <c r="H205" s="4">
        <v>3</v>
      </c>
      <c r="I205" s="4">
        <v>89.99</v>
      </c>
      <c r="J205" s="4" t="s">
        <v>59</v>
      </c>
      <c r="K205" s="4" t="s">
        <v>37</v>
      </c>
      <c r="L205" s="4" t="s">
        <v>29</v>
      </c>
      <c r="M205" s="5">
        <v>45307</v>
      </c>
      <c r="N205" s="4">
        <v>269.97000000000003</v>
      </c>
      <c r="O205" s="35">
        <v>1</v>
      </c>
      <c r="P205" s="51">
        <f t="shared" ca="1" si="12"/>
        <v>46105.940228703701</v>
      </c>
      <c r="Q205" s="52">
        <f t="shared" si="13"/>
        <v>6169.7400000000007</v>
      </c>
      <c r="R205" s="35">
        <f t="shared" si="14"/>
        <v>34</v>
      </c>
      <c r="S205" s="52" t="str">
        <f t="shared" si="15"/>
        <v>MB</v>
      </c>
    </row>
    <row r="206" spans="1:19" ht="15.75" customHeight="1" x14ac:dyDescent="0.3">
      <c r="A206" s="4" t="s">
        <v>353</v>
      </c>
      <c r="B206" s="5">
        <v>45692</v>
      </c>
      <c r="C206" s="4" t="s">
        <v>327</v>
      </c>
      <c r="D206" s="4" t="s">
        <v>328</v>
      </c>
      <c r="E206" s="4" t="s">
        <v>33</v>
      </c>
      <c r="F206" s="4" t="s">
        <v>34</v>
      </c>
      <c r="G206" s="4" t="s">
        <v>35</v>
      </c>
      <c r="H206" s="4">
        <v>1</v>
      </c>
      <c r="I206" s="4">
        <v>59.99</v>
      </c>
      <c r="J206" s="4" t="s">
        <v>59</v>
      </c>
      <c r="K206" s="4" t="s">
        <v>23</v>
      </c>
      <c r="L206" s="4" t="s">
        <v>38</v>
      </c>
      <c r="M206" s="5">
        <v>45045</v>
      </c>
      <c r="N206" s="4">
        <v>59.99</v>
      </c>
      <c r="O206" s="35">
        <v>1</v>
      </c>
      <c r="P206" s="51">
        <f t="shared" ca="1" si="12"/>
        <v>46105.940228703701</v>
      </c>
      <c r="Q206" s="52">
        <f t="shared" si="13"/>
        <v>1559.94</v>
      </c>
      <c r="R206" s="35">
        <f t="shared" si="14"/>
        <v>29</v>
      </c>
      <c r="S206" s="52" t="str">
        <f t="shared" si="15"/>
        <v>AE</v>
      </c>
    </row>
    <row r="207" spans="1:19" ht="15.75" customHeight="1" x14ac:dyDescent="0.3">
      <c r="A207" s="4" t="s">
        <v>354</v>
      </c>
      <c r="B207" s="5">
        <v>45695</v>
      </c>
      <c r="C207" s="4" t="s">
        <v>248</v>
      </c>
      <c r="D207" s="4" t="s">
        <v>249</v>
      </c>
      <c r="E207" s="4" t="s">
        <v>46</v>
      </c>
      <c r="F207" s="4" t="s">
        <v>47</v>
      </c>
      <c r="G207" s="4" t="s">
        <v>48</v>
      </c>
      <c r="H207" s="4">
        <v>3</v>
      </c>
      <c r="I207" s="4">
        <v>149.99</v>
      </c>
      <c r="J207" s="4" t="s">
        <v>59</v>
      </c>
      <c r="K207" s="4" t="s">
        <v>42</v>
      </c>
      <c r="L207" s="4" t="s">
        <v>29</v>
      </c>
      <c r="M207" s="5">
        <v>44564</v>
      </c>
      <c r="N207" s="4">
        <v>449.97</v>
      </c>
      <c r="O207" s="35">
        <v>3</v>
      </c>
      <c r="P207" s="51">
        <f t="shared" ca="1" si="12"/>
        <v>46105.940228703701</v>
      </c>
      <c r="Q207" s="52">
        <f t="shared" si="13"/>
        <v>1749.92</v>
      </c>
      <c r="R207" s="35">
        <f t="shared" si="14"/>
        <v>35</v>
      </c>
      <c r="S207" s="52" t="str">
        <f t="shared" si="15"/>
        <v>RB</v>
      </c>
    </row>
    <row r="208" spans="1:19" ht="15.75" customHeight="1" x14ac:dyDescent="0.3">
      <c r="A208" s="4" t="s">
        <v>355</v>
      </c>
      <c r="B208" s="5">
        <v>45695</v>
      </c>
      <c r="C208" s="4" t="s">
        <v>95</v>
      </c>
      <c r="D208" s="4" t="s">
        <v>96</v>
      </c>
      <c r="E208" s="4" t="s">
        <v>107</v>
      </c>
      <c r="F208" s="4" t="s">
        <v>108</v>
      </c>
      <c r="G208" s="4" t="s">
        <v>48</v>
      </c>
      <c r="H208" s="4">
        <v>5</v>
      </c>
      <c r="I208" s="4">
        <v>299.99</v>
      </c>
      <c r="J208" s="4" t="s">
        <v>28</v>
      </c>
      <c r="K208" s="4" t="s">
        <v>37</v>
      </c>
      <c r="L208" s="4" t="s">
        <v>24</v>
      </c>
      <c r="M208" s="5">
        <v>44959</v>
      </c>
      <c r="N208" s="4">
        <v>1499.95</v>
      </c>
      <c r="O208" s="35">
        <v>2</v>
      </c>
      <c r="P208" s="51">
        <f t="shared" ca="1" si="12"/>
        <v>46105.940228703701</v>
      </c>
      <c r="Q208" s="52">
        <f t="shared" si="13"/>
        <v>4789.7900000000009</v>
      </c>
      <c r="R208" s="35">
        <f t="shared" si="14"/>
        <v>26</v>
      </c>
      <c r="S208" s="52" t="str">
        <f t="shared" si="15"/>
        <v>VS</v>
      </c>
    </row>
    <row r="209" spans="1:19" ht="15.75" customHeight="1" x14ac:dyDescent="0.3">
      <c r="A209" s="4" t="s">
        <v>356</v>
      </c>
      <c r="B209" s="5">
        <v>45696</v>
      </c>
      <c r="C209" s="4" t="s">
        <v>152</v>
      </c>
      <c r="D209" s="4" t="s">
        <v>153</v>
      </c>
      <c r="E209" s="4" t="s">
        <v>33</v>
      </c>
      <c r="F209" s="4" t="s">
        <v>34</v>
      </c>
      <c r="G209" s="4" t="s">
        <v>35</v>
      </c>
      <c r="H209" s="4">
        <v>5</v>
      </c>
      <c r="I209" s="4">
        <v>59.99</v>
      </c>
      <c r="J209" s="4" t="s">
        <v>59</v>
      </c>
      <c r="K209" s="4" t="s">
        <v>23</v>
      </c>
      <c r="L209" s="4" t="s">
        <v>38</v>
      </c>
      <c r="M209" s="5">
        <v>45177</v>
      </c>
      <c r="N209" s="4">
        <v>299.95</v>
      </c>
      <c r="O209" s="35">
        <v>1</v>
      </c>
      <c r="P209" s="51">
        <f t="shared" ca="1" si="12"/>
        <v>46105.940228703701</v>
      </c>
      <c r="Q209" s="52">
        <f t="shared" si="13"/>
        <v>5619.869999999999</v>
      </c>
      <c r="R209" s="35">
        <f t="shared" si="14"/>
        <v>29</v>
      </c>
      <c r="S209" s="52" t="str">
        <f t="shared" si="15"/>
        <v>SB</v>
      </c>
    </row>
    <row r="210" spans="1:19" ht="15.75" customHeight="1" x14ac:dyDescent="0.3">
      <c r="A210" s="4" t="s">
        <v>357</v>
      </c>
      <c r="B210" s="5">
        <v>45701</v>
      </c>
      <c r="C210" s="4" t="s">
        <v>110</v>
      </c>
      <c r="D210" s="4" t="s">
        <v>111</v>
      </c>
      <c r="E210" s="4" t="s">
        <v>116</v>
      </c>
      <c r="F210" s="4" t="s">
        <v>117</v>
      </c>
      <c r="G210" s="4" t="s">
        <v>35</v>
      </c>
      <c r="H210" s="4">
        <v>3</v>
      </c>
      <c r="I210" s="4">
        <v>79.989999999999995</v>
      </c>
      <c r="J210" s="4" t="s">
        <v>22</v>
      </c>
      <c r="K210" s="4" t="s">
        <v>65</v>
      </c>
      <c r="L210" s="4" t="s">
        <v>29</v>
      </c>
      <c r="M210" s="5">
        <v>44436</v>
      </c>
      <c r="N210" s="4">
        <v>239.97</v>
      </c>
      <c r="O210" s="35">
        <v>3</v>
      </c>
      <c r="P210" s="51">
        <f t="shared" ca="1" si="12"/>
        <v>46105.940228703701</v>
      </c>
      <c r="Q210" s="52">
        <f t="shared" si="13"/>
        <v>4189.7700000000004</v>
      </c>
      <c r="R210" s="35">
        <f t="shared" si="14"/>
        <v>14</v>
      </c>
      <c r="S210" s="52" t="str">
        <f t="shared" si="15"/>
        <v>NC</v>
      </c>
    </row>
    <row r="211" spans="1:19" ht="15.75" customHeight="1" x14ac:dyDescent="0.3">
      <c r="A211" s="4" t="s">
        <v>358</v>
      </c>
      <c r="B211" s="5">
        <v>45704</v>
      </c>
      <c r="C211" s="4" t="s">
        <v>31</v>
      </c>
      <c r="D211" s="4" t="s">
        <v>32</v>
      </c>
      <c r="E211" s="4" t="s">
        <v>128</v>
      </c>
      <c r="F211" s="4" t="s">
        <v>129</v>
      </c>
      <c r="G211" s="4" t="s">
        <v>48</v>
      </c>
      <c r="H211" s="4">
        <v>3</v>
      </c>
      <c r="I211" s="4">
        <v>199.99</v>
      </c>
      <c r="J211" s="4" t="s">
        <v>22</v>
      </c>
      <c r="K211" s="4" t="s">
        <v>23</v>
      </c>
      <c r="L211" s="4" t="s">
        <v>24</v>
      </c>
      <c r="M211" s="5">
        <v>44735</v>
      </c>
      <c r="N211" s="4">
        <v>599.97</v>
      </c>
      <c r="O211" s="35">
        <v>2</v>
      </c>
      <c r="P211" s="51">
        <f t="shared" ca="1" si="12"/>
        <v>46105.940228703701</v>
      </c>
      <c r="Q211" s="52">
        <f t="shared" si="13"/>
        <v>3259.87</v>
      </c>
      <c r="R211" s="35">
        <f t="shared" si="14"/>
        <v>15</v>
      </c>
      <c r="S211" s="52" t="str">
        <f t="shared" si="15"/>
        <v>KS</v>
      </c>
    </row>
    <row r="212" spans="1:19" ht="15.75" customHeight="1" x14ac:dyDescent="0.3">
      <c r="A212" s="4" t="s">
        <v>359</v>
      </c>
      <c r="B212" s="5">
        <v>45704</v>
      </c>
      <c r="C212" s="4" t="s">
        <v>17</v>
      </c>
      <c r="D212" s="4" t="s">
        <v>18</v>
      </c>
      <c r="E212" s="4" t="s">
        <v>119</v>
      </c>
      <c r="F212" s="4" t="s">
        <v>120</v>
      </c>
      <c r="G212" s="4" t="s">
        <v>21</v>
      </c>
      <c r="H212" s="4">
        <v>2</v>
      </c>
      <c r="I212" s="4">
        <v>89.99</v>
      </c>
      <c r="J212" s="4" t="s">
        <v>36</v>
      </c>
      <c r="K212" s="4" t="s">
        <v>23</v>
      </c>
      <c r="L212" s="4" t="s">
        <v>24</v>
      </c>
      <c r="M212" s="5">
        <v>45257</v>
      </c>
      <c r="N212" s="4">
        <v>179.98</v>
      </c>
      <c r="O212" s="35">
        <v>1</v>
      </c>
      <c r="P212" s="51">
        <f t="shared" ca="1" si="12"/>
        <v>46105.940228703701</v>
      </c>
      <c r="Q212" s="52">
        <f t="shared" si="13"/>
        <v>8309.739999999998</v>
      </c>
      <c r="R212" s="35">
        <f t="shared" si="14"/>
        <v>34</v>
      </c>
      <c r="S212" s="52" t="str">
        <f t="shared" si="15"/>
        <v>PB</v>
      </c>
    </row>
    <row r="213" spans="1:19" ht="15.75" customHeight="1" x14ac:dyDescent="0.3">
      <c r="A213" s="4" t="s">
        <v>360</v>
      </c>
      <c r="B213" s="5">
        <v>45705</v>
      </c>
      <c r="C213" s="4" t="s">
        <v>261</v>
      </c>
      <c r="D213" s="4" t="s">
        <v>262</v>
      </c>
      <c r="E213" s="4" t="s">
        <v>46</v>
      </c>
      <c r="F213" s="4" t="s">
        <v>47</v>
      </c>
      <c r="G213" s="4" t="s">
        <v>48</v>
      </c>
      <c r="H213" s="4">
        <v>2</v>
      </c>
      <c r="I213" s="4">
        <v>149.99</v>
      </c>
      <c r="J213" s="4" t="s">
        <v>22</v>
      </c>
      <c r="K213" s="4" t="s">
        <v>37</v>
      </c>
      <c r="L213" s="4" t="s">
        <v>29</v>
      </c>
      <c r="M213" s="5">
        <v>44728</v>
      </c>
      <c r="N213" s="4">
        <v>299.98</v>
      </c>
      <c r="O213" s="35">
        <v>2</v>
      </c>
      <c r="P213" s="51">
        <f t="shared" ca="1" si="12"/>
        <v>46105.940228703701</v>
      </c>
      <c r="Q213" s="52">
        <f t="shared" si="13"/>
        <v>739.93000000000006</v>
      </c>
      <c r="R213" s="35">
        <f t="shared" si="14"/>
        <v>35</v>
      </c>
      <c r="S213" s="52" t="str">
        <f t="shared" si="15"/>
        <v>RL</v>
      </c>
    </row>
    <row r="214" spans="1:19" ht="15.75" customHeight="1" x14ac:dyDescent="0.3">
      <c r="A214" s="4" t="s">
        <v>361</v>
      </c>
      <c r="B214" s="5">
        <v>45707</v>
      </c>
      <c r="C214" s="4" t="s">
        <v>125</v>
      </c>
      <c r="D214" s="4" t="s">
        <v>126</v>
      </c>
      <c r="E214" s="4" t="s">
        <v>82</v>
      </c>
      <c r="F214" s="4" t="s">
        <v>83</v>
      </c>
      <c r="G214" s="4" t="s">
        <v>21</v>
      </c>
      <c r="H214" s="4">
        <v>5</v>
      </c>
      <c r="I214" s="4">
        <v>699.99</v>
      </c>
      <c r="J214" s="4" t="s">
        <v>36</v>
      </c>
      <c r="K214" s="4" t="s">
        <v>37</v>
      </c>
      <c r="L214" s="4" t="s">
        <v>29</v>
      </c>
      <c r="M214" s="5">
        <v>45352</v>
      </c>
      <c r="N214" s="4">
        <v>3499.95</v>
      </c>
      <c r="O214" s="35">
        <v>0</v>
      </c>
      <c r="P214" s="51">
        <f t="shared" ca="1" si="12"/>
        <v>46105.940228703701</v>
      </c>
      <c r="Q214" s="52">
        <f t="shared" si="13"/>
        <v>11919.769999999999</v>
      </c>
      <c r="R214" s="35">
        <f t="shared" si="14"/>
        <v>31</v>
      </c>
      <c r="S214" s="52" t="str">
        <f t="shared" si="15"/>
        <v>EM</v>
      </c>
    </row>
    <row r="215" spans="1:19" ht="15.75" customHeight="1" x14ac:dyDescent="0.3">
      <c r="A215" s="4" t="s">
        <v>362</v>
      </c>
      <c r="B215" s="5">
        <v>45707</v>
      </c>
      <c r="C215" s="4" t="s">
        <v>44</v>
      </c>
      <c r="D215" s="4" t="s">
        <v>45</v>
      </c>
      <c r="E215" s="4" t="s">
        <v>46</v>
      </c>
      <c r="F215" s="4" t="s">
        <v>47</v>
      </c>
      <c r="G215" s="4" t="s">
        <v>48</v>
      </c>
      <c r="H215" s="4">
        <v>3</v>
      </c>
      <c r="I215" s="4">
        <v>149.99</v>
      </c>
      <c r="J215" s="4" t="s">
        <v>36</v>
      </c>
      <c r="K215" s="4" t="s">
        <v>23</v>
      </c>
      <c r="L215" s="4" t="s">
        <v>38</v>
      </c>
      <c r="M215" s="5">
        <v>44633</v>
      </c>
      <c r="N215" s="4">
        <v>449.97</v>
      </c>
      <c r="O215" s="35">
        <v>2</v>
      </c>
      <c r="P215" s="51">
        <f t="shared" ca="1" si="12"/>
        <v>46105.940228703701</v>
      </c>
      <c r="Q215" s="52">
        <f t="shared" si="13"/>
        <v>6169.7400000000007</v>
      </c>
      <c r="R215" s="35">
        <f t="shared" si="14"/>
        <v>35</v>
      </c>
      <c r="S215" s="52" t="str">
        <f t="shared" si="15"/>
        <v>MB</v>
      </c>
    </row>
    <row r="216" spans="1:19" ht="15.75" customHeight="1" x14ac:dyDescent="0.3">
      <c r="A216" s="4" t="s">
        <v>363</v>
      </c>
      <c r="B216" s="5">
        <v>45708</v>
      </c>
      <c r="C216" s="4" t="s">
        <v>98</v>
      </c>
      <c r="D216" s="4" t="s">
        <v>99</v>
      </c>
      <c r="E216" s="4" t="s">
        <v>63</v>
      </c>
      <c r="F216" s="4" t="s">
        <v>64</v>
      </c>
      <c r="G216" s="4" t="s">
        <v>21</v>
      </c>
      <c r="H216" s="4">
        <v>3</v>
      </c>
      <c r="I216" s="4">
        <v>899.99</v>
      </c>
      <c r="J216" s="4" t="s">
        <v>22</v>
      </c>
      <c r="K216" s="4" t="s">
        <v>65</v>
      </c>
      <c r="L216" s="4" t="s">
        <v>38</v>
      </c>
      <c r="M216" s="5">
        <v>44613</v>
      </c>
      <c r="N216" s="4">
        <v>2699.97</v>
      </c>
      <c r="O216" s="35">
        <v>2</v>
      </c>
      <c r="P216" s="51">
        <f t="shared" ca="1" si="12"/>
        <v>46105.940228703701</v>
      </c>
      <c r="Q216" s="52">
        <f t="shared" si="13"/>
        <v>10649.8</v>
      </c>
      <c r="R216" s="35">
        <f t="shared" si="14"/>
        <v>24</v>
      </c>
      <c r="S216" s="52" t="str">
        <f t="shared" si="15"/>
        <v>BY</v>
      </c>
    </row>
    <row r="217" spans="1:19" ht="15.75" customHeight="1" x14ac:dyDescent="0.3">
      <c r="A217" s="4" t="s">
        <v>364</v>
      </c>
      <c r="B217" s="5">
        <v>45708</v>
      </c>
      <c r="C217" s="4" t="s">
        <v>194</v>
      </c>
      <c r="D217" s="4" t="s">
        <v>195</v>
      </c>
      <c r="E217" s="4" t="s">
        <v>128</v>
      </c>
      <c r="F217" s="4" t="s">
        <v>129</v>
      </c>
      <c r="G217" s="4" t="s">
        <v>48</v>
      </c>
      <c r="H217" s="4">
        <v>3</v>
      </c>
      <c r="I217" s="4">
        <v>199.99</v>
      </c>
      <c r="J217" s="4" t="s">
        <v>22</v>
      </c>
      <c r="K217" s="4" t="s">
        <v>52</v>
      </c>
      <c r="L217" s="4" t="s">
        <v>29</v>
      </c>
      <c r="M217" s="5">
        <v>44823</v>
      </c>
      <c r="N217" s="4">
        <v>599.97</v>
      </c>
      <c r="O217" s="35">
        <v>2</v>
      </c>
      <c r="P217" s="51">
        <f t="shared" ca="1" si="12"/>
        <v>46105.940228703701</v>
      </c>
      <c r="Q217" s="52">
        <f t="shared" si="13"/>
        <v>1479.91</v>
      </c>
      <c r="R217" s="35">
        <f t="shared" si="14"/>
        <v>15</v>
      </c>
      <c r="S217" s="52" t="str">
        <f t="shared" si="15"/>
        <v>FT</v>
      </c>
    </row>
    <row r="218" spans="1:19" ht="15.75" customHeight="1" x14ac:dyDescent="0.3">
      <c r="A218" s="4" t="s">
        <v>365</v>
      </c>
      <c r="B218" s="5">
        <v>45710</v>
      </c>
      <c r="C218" s="4" t="s">
        <v>57</v>
      </c>
      <c r="D218" s="4" t="s">
        <v>58</v>
      </c>
      <c r="E218" s="4" t="s">
        <v>107</v>
      </c>
      <c r="F218" s="4" t="s">
        <v>108</v>
      </c>
      <c r="G218" s="4" t="s">
        <v>48</v>
      </c>
      <c r="H218" s="4">
        <v>5</v>
      </c>
      <c r="I218" s="4">
        <v>299.99</v>
      </c>
      <c r="J218" s="4" t="s">
        <v>22</v>
      </c>
      <c r="K218" s="4" t="s">
        <v>52</v>
      </c>
      <c r="L218" s="4" t="s">
        <v>38</v>
      </c>
      <c r="M218" s="5">
        <v>45142</v>
      </c>
      <c r="N218" s="4">
        <v>1499.95</v>
      </c>
      <c r="O218" s="35">
        <v>1</v>
      </c>
      <c r="P218" s="51">
        <f t="shared" ca="1" si="12"/>
        <v>46105.940228703701</v>
      </c>
      <c r="Q218" s="52">
        <f t="shared" si="13"/>
        <v>5089.7300000000005</v>
      </c>
      <c r="R218" s="35">
        <f t="shared" si="14"/>
        <v>26</v>
      </c>
      <c r="S218" s="52" t="str">
        <f t="shared" si="15"/>
        <v>CA</v>
      </c>
    </row>
    <row r="219" spans="1:19" ht="15.75" customHeight="1" x14ac:dyDescent="0.3">
      <c r="A219" s="4" t="s">
        <v>366</v>
      </c>
      <c r="B219" s="5">
        <v>45710</v>
      </c>
      <c r="C219" s="4" t="s">
        <v>152</v>
      </c>
      <c r="D219" s="4" t="s">
        <v>153</v>
      </c>
      <c r="E219" s="4" t="s">
        <v>82</v>
      </c>
      <c r="F219" s="4" t="s">
        <v>83</v>
      </c>
      <c r="G219" s="4" t="s">
        <v>21</v>
      </c>
      <c r="H219" s="4">
        <v>1</v>
      </c>
      <c r="I219" s="4">
        <v>699.99</v>
      </c>
      <c r="J219" s="4" t="s">
        <v>36</v>
      </c>
      <c r="K219" s="4" t="s">
        <v>52</v>
      </c>
      <c r="L219" s="4" t="s">
        <v>24</v>
      </c>
      <c r="M219" s="5">
        <v>44934</v>
      </c>
      <c r="N219" s="4">
        <v>699.99</v>
      </c>
      <c r="O219" s="35">
        <v>2</v>
      </c>
      <c r="P219" s="51">
        <f t="shared" ca="1" si="12"/>
        <v>46105.940228703701</v>
      </c>
      <c r="Q219" s="52">
        <f t="shared" si="13"/>
        <v>5619.869999999999</v>
      </c>
      <c r="R219" s="35">
        <f t="shared" si="14"/>
        <v>31</v>
      </c>
      <c r="S219" s="52" t="str">
        <f t="shared" si="15"/>
        <v>SB</v>
      </c>
    </row>
    <row r="220" spans="1:19" ht="15.75" customHeight="1" x14ac:dyDescent="0.3">
      <c r="A220" s="4" t="s">
        <v>367</v>
      </c>
      <c r="B220" s="5">
        <v>45711</v>
      </c>
      <c r="C220" s="4" t="s">
        <v>248</v>
      </c>
      <c r="D220" s="4" t="s">
        <v>249</v>
      </c>
      <c r="E220" s="4" t="s">
        <v>82</v>
      </c>
      <c r="F220" s="4" t="s">
        <v>83</v>
      </c>
      <c r="G220" s="4" t="s">
        <v>21</v>
      </c>
      <c r="H220" s="4">
        <v>1</v>
      </c>
      <c r="I220" s="4">
        <v>699.99</v>
      </c>
      <c r="J220" s="4" t="s">
        <v>22</v>
      </c>
      <c r="K220" s="4" t="s">
        <v>42</v>
      </c>
      <c r="L220" s="4" t="s">
        <v>29</v>
      </c>
      <c r="M220" s="5">
        <v>44583</v>
      </c>
      <c r="N220" s="4">
        <v>699.99</v>
      </c>
      <c r="O220" s="35">
        <v>3</v>
      </c>
      <c r="P220" s="51">
        <f t="shared" ca="1" si="12"/>
        <v>46105.940228703701</v>
      </c>
      <c r="Q220" s="52">
        <f t="shared" si="13"/>
        <v>1749.92</v>
      </c>
      <c r="R220" s="35">
        <f t="shared" si="14"/>
        <v>31</v>
      </c>
      <c r="S220" s="52" t="str">
        <f t="shared" si="15"/>
        <v>RB</v>
      </c>
    </row>
    <row r="221" spans="1:19" ht="15.75" customHeight="1" x14ac:dyDescent="0.3">
      <c r="A221" s="4" t="s">
        <v>368</v>
      </c>
      <c r="B221" s="5">
        <v>45711</v>
      </c>
      <c r="C221" s="4" t="s">
        <v>327</v>
      </c>
      <c r="D221" s="4" t="s">
        <v>328</v>
      </c>
      <c r="E221" s="4" t="s">
        <v>46</v>
      </c>
      <c r="F221" s="4" t="s">
        <v>47</v>
      </c>
      <c r="G221" s="4" t="s">
        <v>48</v>
      </c>
      <c r="H221" s="4">
        <v>4</v>
      </c>
      <c r="I221" s="4">
        <v>149.99</v>
      </c>
      <c r="J221" s="4" t="s">
        <v>36</v>
      </c>
      <c r="K221" s="4" t="s">
        <v>42</v>
      </c>
      <c r="L221" s="4" t="s">
        <v>29</v>
      </c>
      <c r="M221" s="5">
        <v>44412</v>
      </c>
      <c r="N221" s="4">
        <v>599.96</v>
      </c>
      <c r="O221" s="35">
        <v>3</v>
      </c>
      <c r="P221" s="51">
        <f t="shared" ca="1" si="12"/>
        <v>46105.940228703701</v>
      </c>
      <c r="Q221" s="52">
        <f t="shared" si="13"/>
        <v>1559.94</v>
      </c>
      <c r="R221" s="35">
        <f t="shared" si="14"/>
        <v>35</v>
      </c>
      <c r="S221" s="52" t="str">
        <f t="shared" si="15"/>
        <v>AE</v>
      </c>
    </row>
    <row r="222" spans="1:19" ht="15.75" customHeight="1" x14ac:dyDescent="0.3">
      <c r="A222" s="4" t="s">
        <v>369</v>
      </c>
      <c r="B222" s="5">
        <v>45711</v>
      </c>
      <c r="C222" s="4" t="s">
        <v>213</v>
      </c>
      <c r="D222" s="4" t="s">
        <v>214</v>
      </c>
      <c r="E222" s="4" t="s">
        <v>119</v>
      </c>
      <c r="F222" s="4" t="s">
        <v>120</v>
      </c>
      <c r="G222" s="4" t="s">
        <v>21</v>
      </c>
      <c r="H222" s="4">
        <v>5</v>
      </c>
      <c r="I222" s="4">
        <v>89.99</v>
      </c>
      <c r="J222" s="4" t="s">
        <v>36</v>
      </c>
      <c r="K222" s="4" t="s">
        <v>52</v>
      </c>
      <c r="L222" s="4" t="s">
        <v>29</v>
      </c>
      <c r="M222" s="5">
        <v>45140</v>
      </c>
      <c r="N222" s="4">
        <v>449.95</v>
      </c>
      <c r="O222" s="35">
        <v>1</v>
      </c>
      <c r="P222" s="51">
        <f t="shared" ca="1" si="12"/>
        <v>46105.940228703701</v>
      </c>
      <c r="Q222" s="52">
        <f t="shared" si="13"/>
        <v>3649.8599999999997</v>
      </c>
      <c r="R222" s="35">
        <f t="shared" si="14"/>
        <v>34</v>
      </c>
      <c r="S222" s="52" t="str">
        <f t="shared" si="15"/>
        <v>EH</v>
      </c>
    </row>
    <row r="223" spans="1:19" ht="15.75" customHeight="1" x14ac:dyDescent="0.3">
      <c r="A223" s="4" t="s">
        <v>370</v>
      </c>
      <c r="B223" s="5">
        <v>45712</v>
      </c>
      <c r="C223" s="4" t="s">
        <v>140</v>
      </c>
      <c r="D223" s="4" t="s">
        <v>141</v>
      </c>
      <c r="E223" s="4" t="s">
        <v>128</v>
      </c>
      <c r="F223" s="4" t="s">
        <v>129</v>
      </c>
      <c r="G223" s="4" t="s">
        <v>48</v>
      </c>
      <c r="H223" s="4">
        <v>2</v>
      </c>
      <c r="I223" s="4">
        <v>199.99</v>
      </c>
      <c r="J223" s="4" t="s">
        <v>22</v>
      </c>
      <c r="K223" s="4" t="s">
        <v>23</v>
      </c>
      <c r="L223" s="4" t="s">
        <v>29</v>
      </c>
      <c r="M223" s="5">
        <v>44573</v>
      </c>
      <c r="N223" s="4">
        <v>399.98</v>
      </c>
      <c r="O223" s="35">
        <v>3</v>
      </c>
      <c r="P223" s="51">
        <f t="shared" ca="1" si="12"/>
        <v>46105.940228703701</v>
      </c>
      <c r="Q223" s="52">
        <f t="shared" si="13"/>
        <v>2649.83</v>
      </c>
      <c r="R223" s="35">
        <f t="shared" si="14"/>
        <v>15</v>
      </c>
      <c r="S223" s="52" t="str">
        <f t="shared" si="15"/>
        <v>ST</v>
      </c>
    </row>
    <row r="224" spans="1:19" ht="15.75" customHeight="1" x14ac:dyDescent="0.3">
      <c r="A224" s="4" t="s">
        <v>371</v>
      </c>
      <c r="B224" s="5">
        <v>45715</v>
      </c>
      <c r="C224" s="4" t="s">
        <v>261</v>
      </c>
      <c r="D224" s="4" t="s">
        <v>262</v>
      </c>
      <c r="E224" s="4" t="s">
        <v>33</v>
      </c>
      <c r="F224" s="4" t="s">
        <v>34</v>
      </c>
      <c r="G224" s="4" t="s">
        <v>35</v>
      </c>
      <c r="H224" s="4">
        <v>4</v>
      </c>
      <c r="I224" s="4">
        <v>59.99</v>
      </c>
      <c r="J224" s="4" t="s">
        <v>22</v>
      </c>
      <c r="K224" s="4" t="s">
        <v>52</v>
      </c>
      <c r="L224" s="4" t="s">
        <v>38</v>
      </c>
      <c r="M224" s="5">
        <v>45070</v>
      </c>
      <c r="N224" s="4">
        <v>239.96</v>
      </c>
      <c r="O224" s="35">
        <v>1</v>
      </c>
      <c r="P224" s="51">
        <f t="shared" ca="1" si="12"/>
        <v>46105.940228703701</v>
      </c>
      <c r="Q224" s="52">
        <f t="shared" si="13"/>
        <v>739.93000000000006</v>
      </c>
      <c r="R224" s="35">
        <f t="shared" si="14"/>
        <v>29</v>
      </c>
      <c r="S224" s="52" t="str">
        <f t="shared" si="15"/>
        <v>RL</v>
      </c>
    </row>
    <row r="225" spans="1:19" ht="15.75" customHeight="1" x14ac:dyDescent="0.3">
      <c r="A225" s="4" t="s">
        <v>372</v>
      </c>
      <c r="B225" s="5">
        <v>45715</v>
      </c>
      <c r="C225" s="4" t="s">
        <v>95</v>
      </c>
      <c r="D225" s="4" t="s">
        <v>96</v>
      </c>
      <c r="E225" s="4" t="s">
        <v>107</v>
      </c>
      <c r="F225" s="4" t="s">
        <v>108</v>
      </c>
      <c r="G225" s="4" t="s">
        <v>48</v>
      </c>
      <c r="H225" s="4">
        <v>2</v>
      </c>
      <c r="I225" s="4">
        <v>299.99</v>
      </c>
      <c r="J225" s="4" t="s">
        <v>36</v>
      </c>
      <c r="K225" s="4" t="s">
        <v>37</v>
      </c>
      <c r="L225" s="4" t="s">
        <v>24</v>
      </c>
      <c r="M225" s="5">
        <v>44576</v>
      </c>
      <c r="N225" s="4">
        <v>599.98</v>
      </c>
      <c r="O225" s="35">
        <v>3</v>
      </c>
      <c r="P225" s="51">
        <f t="shared" ca="1" si="12"/>
        <v>46105.940228703701</v>
      </c>
      <c r="Q225" s="52">
        <f t="shared" si="13"/>
        <v>4789.7900000000009</v>
      </c>
      <c r="R225" s="35">
        <f t="shared" si="14"/>
        <v>26</v>
      </c>
      <c r="S225" s="52" t="str">
        <f t="shared" si="15"/>
        <v>VS</v>
      </c>
    </row>
    <row r="226" spans="1:19" ht="15.75" customHeight="1" x14ac:dyDescent="0.3">
      <c r="A226" s="4" t="s">
        <v>373</v>
      </c>
      <c r="B226" s="5">
        <v>45718</v>
      </c>
      <c r="C226" s="4" t="s">
        <v>57</v>
      </c>
      <c r="D226" s="4" t="s">
        <v>58</v>
      </c>
      <c r="E226" s="4" t="s">
        <v>46</v>
      </c>
      <c r="F226" s="4" t="s">
        <v>47</v>
      </c>
      <c r="G226" s="4" t="s">
        <v>48</v>
      </c>
      <c r="H226" s="4">
        <v>2</v>
      </c>
      <c r="I226" s="4">
        <v>149.99</v>
      </c>
      <c r="J226" s="4" t="s">
        <v>22</v>
      </c>
      <c r="K226" s="4" t="s">
        <v>23</v>
      </c>
      <c r="L226" s="4" t="s">
        <v>24</v>
      </c>
      <c r="M226" s="5">
        <v>45068</v>
      </c>
      <c r="N226" s="4">
        <v>299.98</v>
      </c>
      <c r="O226" s="35">
        <v>1</v>
      </c>
      <c r="P226" s="51">
        <f t="shared" ca="1" si="12"/>
        <v>46105.940228703701</v>
      </c>
      <c r="Q226" s="52">
        <f t="shared" si="13"/>
        <v>5089.7300000000005</v>
      </c>
      <c r="R226" s="35">
        <f t="shared" si="14"/>
        <v>35</v>
      </c>
      <c r="S226" s="52" t="str">
        <f t="shared" si="15"/>
        <v>CA</v>
      </c>
    </row>
    <row r="227" spans="1:19" ht="15.75" customHeight="1" x14ac:dyDescent="0.3">
      <c r="A227" s="4" t="s">
        <v>374</v>
      </c>
      <c r="B227" s="5">
        <v>45720</v>
      </c>
      <c r="C227" s="4" t="s">
        <v>228</v>
      </c>
      <c r="D227" s="4" t="s">
        <v>229</v>
      </c>
      <c r="E227" s="4" t="s">
        <v>82</v>
      </c>
      <c r="F227" s="4" t="s">
        <v>83</v>
      </c>
      <c r="G227" s="4" t="s">
        <v>21</v>
      </c>
      <c r="H227" s="4">
        <v>5</v>
      </c>
      <c r="I227" s="4">
        <v>699.99</v>
      </c>
      <c r="J227" s="4" t="s">
        <v>59</v>
      </c>
      <c r="K227" s="4" t="s">
        <v>65</v>
      </c>
      <c r="L227" s="4" t="s">
        <v>29</v>
      </c>
      <c r="M227" s="5">
        <v>45161</v>
      </c>
      <c r="N227" s="4">
        <v>3499.95</v>
      </c>
      <c r="O227" s="35">
        <v>1</v>
      </c>
      <c r="P227" s="51">
        <f t="shared" ca="1" si="12"/>
        <v>46105.940228703701</v>
      </c>
      <c r="Q227" s="52">
        <f t="shared" si="13"/>
        <v>6989.7699999999986</v>
      </c>
      <c r="R227" s="35">
        <f t="shared" si="14"/>
        <v>31</v>
      </c>
      <c r="S227" s="52" t="str">
        <f t="shared" si="15"/>
        <v>LR</v>
      </c>
    </row>
    <row r="228" spans="1:19" ht="15.75" customHeight="1" x14ac:dyDescent="0.3">
      <c r="A228" s="4" t="s">
        <v>375</v>
      </c>
      <c r="B228" s="5">
        <v>45721</v>
      </c>
      <c r="C228" s="4" t="s">
        <v>77</v>
      </c>
      <c r="D228" s="4" t="s">
        <v>78</v>
      </c>
      <c r="E228" s="4" t="s">
        <v>33</v>
      </c>
      <c r="F228" s="4" t="s">
        <v>34</v>
      </c>
      <c r="G228" s="4" t="s">
        <v>35</v>
      </c>
      <c r="H228" s="4">
        <v>5</v>
      </c>
      <c r="I228" s="4">
        <v>59.99</v>
      </c>
      <c r="J228" s="4" t="s">
        <v>22</v>
      </c>
      <c r="K228" s="4" t="s">
        <v>52</v>
      </c>
      <c r="L228" s="4" t="s">
        <v>29</v>
      </c>
      <c r="M228" s="5">
        <v>45291</v>
      </c>
      <c r="N228" s="4">
        <v>299.95</v>
      </c>
      <c r="O228" s="35">
        <v>1</v>
      </c>
      <c r="P228" s="51">
        <f t="shared" ca="1" si="12"/>
        <v>46105.940228703701</v>
      </c>
      <c r="Q228" s="52">
        <f t="shared" si="13"/>
        <v>479.91999999999996</v>
      </c>
      <c r="R228" s="35">
        <f t="shared" si="14"/>
        <v>29</v>
      </c>
      <c r="S228" s="52" t="str">
        <f t="shared" si="15"/>
        <v>DG</v>
      </c>
    </row>
    <row r="229" spans="1:19" ht="15.75" customHeight="1" x14ac:dyDescent="0.3">
      <c r="A229" s="4" t="s">
        <v>376</v>
      </c>
      <c r="B229" s="5">
        <v>45723</v>
      </c>
      <c r="C229" s="4" t="s">
        <v>17</v>
      </c>
      <c r="D229" s="4" t="s">
        <v>18</v>
      </c>
      <c r="E229" s="4" t="s">
        <v>119</v>
      </c>
      <c r="F229" s="4" t="s">
        <v>120</v>
      </c>
      <c r="G229" s="4" t="s">
        <v>21</v>
      </c>
      <c r="H229" s="4">
        <v>2</v>
      </c>
      <c r="I229" s="4">
        <v>89.99</v>
      </c>
      <c r="J229" s="4" t="s">
        <v>28</v>
      </c>
      <c r="K229" s="4" t="s">
        <v>52</v>
      </c>
      <c r="L229" s="4" t="s">
        <v>29</v>
      </c>
      <c r="M229" s="5">
        <v>45295</v>
      </c>
      <c r="N229" s="4">
        <v>179.98</v>
      </c>
      <c r="O229" s="35">
        <v>1</v>
      </c>
      <c r="P229" s="51">
        <f t="shared" ca="1" si="12"/>
        <v>46105.940228703701</v>
      </c>
      <c r="Q229" s="52">
        <f t="shared" si="13"/>
        <v>8309.739999999998</v>
      </c>
      <c r="R229" s="35">
        <f t="shared" si="14"/>
        <v>34</v>
      </c>
      <c r="S229" s="52" t="str">
        <f t="shared" si="15"/>
        <v>PB</v>
      </c>
    </row>
    <row r="230" spans="1:19" ht="15.75" customHeight="1" x14ac:dyDescent="0.3">
      <c r="A230" s="4" t="s">
        <v>377</v>
      </c>
      <c r="B230" s="5">
        <v>45723</v>
      </c>
      <c r="C230" s="4" t="s">
        <v>122</v>
      </c>
      <c r="D230" s="4" t="s">
        <v>123</v>
      </c>
      <c r="E230" s="4" t="s">
        <v>19</v>
      </c>
      <c r="F230" s="4" t="s">
        <v>20</v>
      </c>
      <c r="G230" s="4" t="s">
        <v>21</v>
      </c>
      <c r="H230" s="4">
        <v>5</v>
      </c>
      <c r="I230" s="4">
        <v>249.99</v>
      </c>
      <c r="J230" s="4" t="s">
        <v>22</v>
      </c>
      <c r="K230" s="4" t="s">
        <v>65</v>
      </c>
      <c r="L230" s="4" t="s">
        <v>38</v>
      </c>
      <c r="M230" s="5">
        <v>44540</v>
      </c>
      <c r="N230" s="4">
        <v>1249.95</v>
      </c>
      <c r="O230" s="35">
        <v>3</v>
      </c>
      <c r="P230" s="51">
        <f t="shared" ca="1" si="12"/>
        <v>46105.940228703701</v>
      </c>
      <c r="Q230" s="52">
        <f t="shared" si="13"/>
        <v>6459.79</v>
      </c>
      <c r="R230" s="35">
        <f t="shared" si="14"/>
        <v>26</v>
      </c>
      <c r="S230" s="52" t="str">
        <f t="shared" si="15"/>
        <v>HR</v>
      </c>
    </row>
    <row r="231" spans="1:19" ht="15.75" customHeight="1" x14ac:dyDescent="0.3">
      <c r="A231" s="4" t="s">
        <v>378</v>
      </c>
      <c r="B231" s="5">
        <v>45724</v>
      </c>
      <c r="C231" s="4" t="s">
        <v>228</v>
      </c>
      <c r="D231" s="4" t="s">
        <v>229</v>
      </c>
      <c r="E231" s="4" t="s">
        <v>46</v>
      </c>
      <c r="F231" s="4" t="s">
        <v>47</v>
      </c>
      <c r="G231" s="4" t="s">
        <v>48</v>
      </c>
      <c r="H231" s="4">
        <v>2</v>
      </c>
      <c r="I231" s="4">
        <v>149.99</v>
      </c>
      <c r="J231" s="4" t="s">
        <v>36</v>
      </c>
      <c r="K231" s="4" t="s">
        <v>23</v>
      </c>
      <c r="L231" s="4" t="s">
        <v>29</v>
      </c>
      <c r="M231" s="5">
        <v>44632</v>
      </c>
      <c r="N231" s="4">
        <v>299.98</v>
      </c>
      <c r="O231" s="35">
        <v>2</v>
      </c>
      <c r="P231" s="51">
        <f t="shared" ca="1" si="12"/>
        <v>46105.940228703701</v>
      </c>
      <c r="Q231" s="52">
        <f t="shared" si="13"/>
        <v>6989.7699999999986</v>
      </c>
      <c r="R231" s="35">
        <f t="shared" si="14"/>
        <v>35</v>
      </c>
      <c r="S231" s="52" t="str">
        <f t="shared" si="15"/>
        <v>LR</v>
      </c>
    </row>
    <row r="232" spans="1:19" ht="15.75" customHeight="1" x14ac:dyDescent="0.3">
      <c r="A232" s="4" t="s">
        <v>379</v>
      </c>
      <c r="B232" s="5">
        <v>45724</v>
      </c>
      <c r="C232" s="4" t="s">
        <v>146</v>
      </c>
      <c r="D232" s="4" t="s">
        <v>147</v>
      </c>
      <c r="E232" s="4" t="s">
        <v>63</v>
      </c>
      <c r="F232" s="4" t="s">
        <v>64</v>
      </c>
      <c r="G232" s="4" t="s">
        <v>21</v>
      </c>
      <c r="H232" s="4">
        <v>5</v>
      </c>
      <c r="I232" s="4">
        <v>899.99</v>
      </c>
      <c r="J232" s="4" t="s">
        <v>36</v>
      </c>
      <c r="K232" s="4" t="s">
        <v>65</v>
      </c>
      <c r="L232" s="4" t="s">
        <v>29</v>
      </c>
      <c r="M232" s="5">
        <v>45389</v>
      </c>
      <c r="N232" s="4">
        <v>4499.95</v>
      </c>
      <c r="O232" s="35">
        <v>0</v>
      </c>
      <c r="P232" s="51">
        <f t="shared" ca="1" si="12"/>
        <v>46105.940228703701</v>
      </c>
      <c r="Q232" s="52">
        <f t="shared" si="13"/>
        <v>5519.8899999999994</v>
      </c>
      <c r="R232" s="35">
        <f t="shared" si="14"/>
        <v>24</v>
      </c>
      <c r="S232" s="52" t="str">
        <f t="shared" si="15"/>
        <v>HM</v>
      </c>
    </row>
    <row r="233" spans="1:19" ht="15.75" customHeight="1" x14ac:dyDescent="0.3">
      <c r="A233" s="4" t="s">
        <v>380</v>
      </c>
      <c r="B233" s="5">
        <v>45724</v>
      </c>
      <c r="C233" s="4" t="s">
        <v>57</v>
      </c>
      <c r="D233" s="4" t="s">
        <v>58</v>
      </c>
      <c r="E233" s="4" t="s">
        <v>46</v>
      </c>
      <c r="F233" s="4" t="s">
        <v>47</v>
      </c>
      <c r="G233" s="4" t="s">
        <v>48</v>
      </c>
      <c r="H233" s="4">
        <v>4</v>
      </c>
      <c r="I233" s="4">
        <v>149.99</v>
      </c>
      <c r="J233" s="4" t="s">
        <v>22</v>
      </c>
      <c r="K233" s="4" t="s">
        <v>23</v>
      </c>
      <c r="L233" s="4" t="s">
        <v>38</v>
      </c>
      <c r="M233" s="5">
        <v>45263</v>
      </c>
      <c r="N233" s="4">
        <v>599.96</v>
      </c>
      <c r="O233" s="35">
        <v>1</v>
      </c>
      <c r="P233" s="51">
        <f t="shared" ca="1" si="12"/>
        <v>46105.940228703701</v>
      </c>
      <c r="Q233" s="52">
        <f t="shared" si="13"/>
        <v>5089.7300000000005</v>
      </c>
      <c r="R233" s="35">
        <f t="shared" si="14"/>
        <v>35</v>
      </c>
      <c r="S233" s="52" t="str">
        <f t="shared" si="15"/>
        <v>CA</v>
      </c>
    </row>
    <row r="234" spans="1:19" ht="15.75" customHeight="1" x14ac:dyDescent="0.3">
      <c r="A234" s="4" t="s">
        <v>381</v>
      </c>
      <c r="B234" s="5">
        <v>45726</v>
      </c>
      <c r="C234" s="4" t="s">
        <v>146</v>
      </c>
      <c r="D234" s="4" t="s">
        <v>147</v>
      </c>
      <c r="E234" s="4" t="s">
        <v>19</v>
      </c>
      <c r="F234" s="4" t="s">
        <v>20</v>
      </c>
      <c r="G234" s="4" t="s">
        <v>21</v>
      </c>
      <c r="H234" s="4">
        <v>1</v>
      </c>
      <c r="I234" s="4">
        <v>249.99</v>
      </c>
      <c r="J234" s="4" t="s">
        <v>22</v>
      </c>
      <c r="K234" s="4" t="s">
        <v>42</v>
      </c>
      <c r="L234" s="4" t="s">
        <v>38</v>
      </c>
      <c r="M234" s="5">
        <v>45117</v>
      </c>
      <c r="N234" s="4">
        <v>249.99</v>
      </c>
      <c r="O234" s="35">
        <v>1</v>
      </c>
      <c r="P234" s="51">
        <f t="shared" ca="1" si="12"/>
        <v>46105.940228703701</v>
      </c>
      <c r="Q234" s="52">
        <f t="shared" si="13"/>
        <v>5519.8899999999994</v>
      </c>
      <c r="R234" s="35">
        <f t="shared" si="14"/>
        <v>26</v>
      </c>
      <c r="S234" s="52" t="str">
        <f t="shared" si="15"/>
        <v>HM</v>
      </c>
    </row>
    <row r="235" spans="1:19" ht="15.75" customHeight="1" x14ac:dyDescent="0.3">
      <c r="A235" s="4" t="s">
        <v>382</v>
      </c>
      <c r="B235" s="5">
        <v>45734</v>
      </c>
      <c r="C235" s="4" t="s">
        <v>194</v>
      </c>
      <c r="D235" s="4" t="s">
        <v>195</v>
      </c>
      <c r="E235" s="4" t="s">
        <v>33</v>
      </c>
      <c r="F235" s="4" t="s">
        <v>34</v>
      </c>
      <c r="G235" s="4" t="s">
        <v>35</v>
      </c>
      <c r="H235" s="4">
        <v>2</v>
      </c>
      <c r="I235" s="4">
        <v>59.99</v>
      </c>
      <c r="J235" s="4" t="s">
        <v>28</v>
      </c>
      <c r="K235" s="4" t="s">
        <v>52</v>
      </c>
      <c r="L235" s="4" t="s">
        <v>24</v>
      </c>
      <c r="M235" s="5">
        <v>45193</v>
      </c>
      <c r="N235" s="4">
        <v>119.98</v>
      </c>
      <c r="O235" s="35">
        <v>1</v>
      </c>
      <c r="P235" s="51">
        <f t="shared" ca="1" si="12"/>
        <v>46105.940228703701</v>
      </c>
      <c r="Q235" s="52">
        <f t="shared" si="13"/>
        <v>1479.91</v>
      </c>
      <c r="R235" s="35">
        <f t="shared" si="14"/>
        <v>29</v>
      </c>
      <c r="S235" s="52" t="str">
        <f t="shared" si="15"/>
        <v>FT</v>
      </c>
    </row>
    <row r="236" spans="1:19" ht="15.75" customHeight="1" x14ac:dyDescent="0.3">
      <c r="A236" s="4" t="s">
        <v>383</v>
      </c>
      <c r="B236" s="5">
        <v>45737</v>
      </c>
      <c r="C236" s="4" t="s">
        <v>134</v>
      </c>
      <c r="D236" s="4" t="s">
        <v>135</v>
      </c>
      <c r="E236" s="4" t="s">
        <v>46</v>
      </c>
      <c r="F236" s="4" t="s">
        <v>47</v>
      </c>
      <c r="G236" s="4" t="s">
        <v>48</v>
      </c>
      <c r="H236" s="4">
        <v>2</v>
      </c>
      <c r="I236" s="4">
        <v>149.99</v>
      </c>
      <c r="J236" s="4" t="s">
        <v>22</v>
      </c>
      <c r="K236" s="4" t="s">
        <v>52</v>
      </c>
      <c r="L236" s="4" t="s">
        <v>29</v>
      </c>
      <c r="M236" s="5">
        <v>45233</v>
      </c>
      <c r="N236" s="4">
        <v>299.98</v>
      </c>
      <c r="O236" s="35">
        <v>1</v>
      </c>
      <c r="P236" s="51">
        <f t="shared" ca="1" si="12"/>
        <v>46105.940228703701</v>
      </c>
      <c r="Q236" s="52">
        <f t="shared" si="13"/>
        <v>1229.8800000000001</v>
      </c>
      <c r="R236" s="35">
        <f t="shared" si="14"/>
        <v>35</v>
      </c>
      <c r="S236" s="52" t="str">
        <f t="shared" si="15"/>
        <v>EW</v>
      </c>
    </row>
    <row r="237" spans="1:19" ht="15.75" customHeight="1" x14ac:dyDescent="0.3">
      <c r="A237" s="4" t="s">
        <v>384</v>
      </c>
      <c r="B237" s="5">
        <v>45737</v>
      </c>
      <c r="C237" s="4" t="s">
        <v>152</v>
      </c>
      <c r="D237" s="4" t="s">
        <v>153</v>
      </c>
      <c r="E237" s="4" t="s">
        <v>63</v>
      </c>
      <c r="F237" s="4" t="s">
        <v>64</v>
      </c>
      <c r="G237" s="4" t="s">
        <v>21</v>
      </c>
      <c r="H237" s="4">
        <v>3</v>
      </c>
      <c r="I237" s="4">
        <v>899.99</v>
      </c>
      <c r="J237" s="4" t="s">
        <v>59</v>
      </c>
      <c r="K237" s="4" t="s">
        <v>42</v>
      </c>
      <c r="L237" s="4" t="s">
        <v>29</v>
      </c>
      <c r="M237" s="5">
        <v>44876</v>
      </c>
      <c r="N237" s="4">
        <v>2699.97</v>
      </c>
      <c r="O237" s="35">
        <v>2</v>
      </c>
      <c r="P237" s="51">
        <f t="shared" ca="1" si="12"/>
        <v>46105.940228703701</v>
      </c>
      <c r="Q237" s="52">
        <f t="shared" si="13"/>
        <v>5619.869999999999</v>
      </c>
      <c r="R237" s="35">
        <f t="shared" si="14"/>
        <v>24</v>
      </c>
      <c r="S237" s="52" t="str">
        <f t="shared" si="15"/>
        <v>SB</v>
      </c>
    </row>
    <row r="238" spans="1:19" ht="15.75" customHeight="1" x14ac:dyDescent="0.3">
      <c r="A238" s="4" t="s">
        <v>385</v>
      </c>
      <c r="B238" s="5">
        <v>45737</v>
      </c>
      <c r="C238" s="4" t="s">
        <v>50</v>
      </c>
      <c r="D238" s="4" t="s">
        <v>51</v>
      </c>
      <c r="E238" s="4" t="s">
        <v>63</v>
      </c>
      <c r="F238" s="4" t="s">
        <v>64</v>
      </c>
      <c r="G238" s="4" t="s">
        <v>21</v>
      </c>
      <c r="H238" s="4">
        <v>3</v>
      </c>
      <c r="I238" s="4">
        <v>899.99</v>
      </c>
      <c r="J238" s="4" t="s">
        <v>36</v>
      </c>
      <c r="K238" s="4" t="s">
        <v>42</v>
      </c>
      <c r="L238" s="4" t="s">
        <v>24</v>
      </c>
      <c r="M238" s="5">
        <v>44975</v>
      </c>
      <c r="N238" s="4">
        <v>2699.97</v>
      </c>
      <c r="O238" s="35">
        <v>2</v>
      </c>
      <c r="P238" s="51">
        <f t="shared" ca="1" si="12"/>
        <v>46105.940228703701</v>
      </c>
      <c r="Q238" s="52">
        <f t="shared" si="13"/>
        <v>8269.7900000000009</v>
      </c>
      <c r="R238" s="35">
        <f t="shared" si="14"/>
        <v>24</v>
      </c>
      <c r="S238" s="52" t="str">
        <f t="shared" si="15"/>
        <v>DN</v>
      </c>
    </row>
    <row r="239" spans="1:19" ht="15.75" customHeight="1" x14ac:dyDescent="0.3">
      <c r="A239" s="4" t="s">
        <v>386</v>
      </c>
      <c r="B239" s="5">
        <v>45739</v>
      </c>
      <c r="C239" s="4" t="s">
        <v>17</v>
      </c>
      <c r="D239" s="4" t="s">
        <v>18</v>
      </c>
      <c r="E239" s="4" t="s">
        <v>107</v>
      </c>
      <c r="F239" s="4" t="s">
        <v>108</v>
      </c>
      <c r="G239" s="4" t="s">
        <v>48</v>
      </c>
      <c r="H239" s="4">
        <v>3</v>
      </c>
      <c r="I239" s="4">
        <v>299.99</v>
      </c>
      <c r="J239" s="4" t="s">
        <v>28</v>
      </c>
      <c r="K239" s="4" t="s">
        <v>52</v>
      </c>
      <c r="L239" s="4" t="s">
        <v>29</v>
      </c>
      <c r="M239" s="5">
        <v>45234</v>
      </c>
      <c r="N239" s="4">
        <v>899.97</v>
      </c>
      <c r="O239" s="35">
        <v>1</v>
      </c>
      <c r="P239" s="51">
        <f t="shared" ca="1" si="12"/>
        <v>46105.940228703701</v>
      </c>
      <c r="Q239" s="52">
        <f t="shared" si="13"/>
        <v>8309.739999999998</v>
      </c>
      <c r="R239" s="35">
        <f t="shared" si="14"/>
        <v>26</v>
      </c>
      <c r="S239" s="52" t="str">
        <f t="shared" si="15"/>
        <v>PB</v>
      </c>
    </row>
    <row r="240" spans="1:19" ht="15.75" customHeight="1" x14ac:dyDescent="0.3">
      <c r="A240" s="4" t="s">
        <v>387</v>
      </c>
      <c r="B240" s="5">
        <v>45740</v>
      </c>
      <c r="C240" s="4" t="s">
        <v>388</v>
      </c>
      <c r="D240" s="4" t="s">
        <v>389</v>
      </c>
      <c r="E240" s="4" t="s">
        <v>46</v>
      </c>
      <c r="F240" s="4" t="s">
        <v>47</v>
      </c>
      <c r="G240" s="4" t="s">
        <v>48</v>
      </c>
      <c r="H240" s="4">
        <v>4</v>
      </c>
      <c r="I240" s="4">
        <v>149.99</v>
      </c>
      <c r="J240" s="4" t="s">
        <v>36</v>
      </c>
      <c r="K240" s="4" t="s">
        <v>52</v>
      </c>
      <c r="L240" s="4" t="s">
        <v>38</v>
      </c>
      <c r="M240" s="5">
        <v>44560</v>
      </c>
      <c r="N240" s="4">
        <v>599.96</v>
      </c>
      <c r="O240" s="35">
        <v>3</v>
      </c>
      <c r="P240" s="51">
        <f t="shared" ca="1" si="12"/>
        <v>46105.940228703701</v>
      </c>
      <c r="Q240" s="52">
        <f t="shared" si="13"/>
        <v>599.96</v>
      </c>
      <c r="R240" s="35">
        <f t="shared" si="14"/>
        <v>35</v>
      </c>
      <c r="S240" s="52" t="str">
        <f t="shared" si="15"/>
        <v>JS</v>
      </c>
    </row>
    <row r="241" spans="1:19" ht="15.75" customHeight="1" x14ac:dyDescent="0.3">
      <c r="A241" s="4" t="s">
        <v>390</v>
      </c>
      <c r="B241" s="5">
        <v>45743</v>
      </c>
      <c r="C241" s="4" t="s">
        <v>104</v>
      </c>
      <c r="D241" s="4" t="s">
        <v>105</v>
      </c>
      <c r="E241" s="4" t="s">
        <v>116</v>
      </c>
      <c r="F241" s="4" t="s">
        <v>117</v>
      </c>
      <c r="G241" s="4" t="s">
        <v>35</v>
      </c>
      <c r="H241" s="4">
        <v>4</v>
      </c>
      <c r="I241" s="4">
        <v>79.989999999999995</v>
      </c>
      <c r="J241" s="4" t="s">
        <v>28</v>
      </c>
      <c r="K241" s="4" t="s">
        <v>23</v>
      </c>
      <c r="L241" s="4" t="s">
        <v>24</v>
      </c>
      <c r="M241" s="5">
        <v>45288</v>
      </c>
      <c r="N241" s="4">
        <v>319.95999999999998</v>
      </c>
      <c r="O241" s="35">
        <v>1</v>
      </c>
      <c r="P241" s="51">
        <f t="shared" ca="1" si="12"/>
        <v>46105.940228703701</v>
      </c>
      <c r="Q241" s="52">
        <f t="shared" si="13"/>
        <v>3769.8300000000004</v>
      </c>
      <c r="R241" s="35">
        <f t="shared" si="14"/>
        <v>14</v>
      </c>
      <c r="S241" s="52" t="str">
        <f t="shared" si="15"/>
        <v>CP</v>
      </c>
    </row>
    <row r="242" spans="1:19" ht="15.75" customHeight="1" x14ac:dyDescent="0.3">
      <c r="A242" s="4" t="s">
        <v>391</v>
      </c>
      <c r="B242" s="5">
        <v>45745</v>
      </c>
      <c r="C242" s="4" t="s">
        <v>187</v>
      </c>
      <c r="D242" s="4" t="s">
        <v>188</v>
      </c>
      <c r="E242" s="4" t="s">
        <v>119</v>
      </c>
      <c r="F242" s="4" t="s">
        <v>120</v>
      </c>
      <c r="G242" s="4" t="s">
        <v>21</v>
      </c>
      <c r="H242" s="4">
        <v>5</v>
      </c>
      <c r="I242" s="4">
        <v>89.99</v>
      </c>
      <c r="J242" s="4" t="s">
        <v>36</v>
      </c>
      <c r="K242" s="4" t="s">
        <v>37</v>
      </c>
      <c r="L242" s="4" t="s">
        <v>24</v>
      </c>
      <c r="M242" s="5">
        <v>44704</v>
      </c>
      <c r="N242" s="4">
        <v>449.95</v>
      </c>
      <c r="O242" s="35">
        <v>2</v>
      </c>
      <c r="P242" s="51">
        <f t="shared" ca="1" si="12"/>
        <v>46105.940228703701</v>
      </c>
      <c r="Q242" s="52">
        <f t="shared" si="13"/>
        <v>2099.88</v>
      </c>
      <c r="R242" s="35">
        <f t="shared" si="14"/>
        <v>34</v>
      </c>
      <c r="S242" s="52" t="str">
        <f t="shared" si="15"/>
        <v>MW</v>
      </c>
    </row>
    <row r="243" spans="1:19" ht="15.75" customHeight="1" x14ac:dyDescent="0.3">
      <c r="A243" s="4" t="s">
        <v>392</v>
      </c>
      <c r="B243" s="5">
        <v>45746</v>
      </c>
      <c r="C243" s="4" t="s">
        <v>95</v>
      </c>
      <c r="D243" s="4" t="s">
        <v>96</v>
      </c>
      <c r="E243" s="4" t="s">
        <v>46</v>
      </c>
      <c r="F243" s="4" t="s">
        <v>47</v>
      </c>
      <c r="G243" s="4" t="s">
        <v>48</v>
      </c>
      <c r="H243" s="4">
        <v>3</v>
      </c>
      <c r="I243" s="4">
        <v>149.99</v>
      </c>
      <c r="J243" s="4" t="s">
        <v>36</v>
      </c>
      <c r="K243" s="4" t="s">
        <v>23</v>
      </c>
      <c r="L243" s="4" t="s">
        <v>38</v>
      </c>
      <c r="M243" s="5">
        <v>45171</v>
      </c>
      <c r="N243" s="4">
        <v>449.97</v>
      </c>
      <c r="O243" s="35">
        <v>1</v>
      </c>
      <c r="P243" s="51">
        <f t="shared" ca="1" si="12"/>
        <v>46105.940228703701</v>
      </c>
      <c r="Q243" s="52">
        <f t="shared" si="13"/>
        <v>4789.7900000000009</v>
      </c>
      <c r="R243" s="35">
        <f t="shared" si="14"/>
        <v>35</v>
      </c>
      <c r="S243" s="52" t="str">
        <f t="shared" si="15"/>
        <v>VS</v>
      </c>
    </row>
    <row r="244" spans="1:19" ht="15.75" customHeight="1" x14ac:dyDescent="0.3">
      <c r="A244" s="4" t="s">
        <v>393</v>
      </c>
      <c r="B244" s="5">
        <v>45746</v>
      </c>
      <c r="C244" s="4" t="s">
        <v>67</v>
      </c>
      <c r="D244" s="4" t="s">
        <v>68</v>
      </c>
      <c r="E244" s="4" t="s">
        <v>119</v>
      </c>
      <c r="F244" s="4" t="s">
        <v>120</v>
      </c>
      <c r="G244" s="4" t="s">
        <v>21</v>
      </c>
      <c r="H244" s="4">
        <v>2</v>
      </c>
      <c r="I244" s="4">
        <v>89.99</v>
      </c>
      <c r="J244" s="4" t="s">
        <v>59</v>
      </c>
      <c r="K244" s="4" t="s">
        <v>52</v>
      </c>
      <c r="L244" s="4" t="s">
        <v>29</v>
      </c>
      <c r="M244" s="5">
        <v>44522</v>
      </c>
      <c r="N244" s="4">
        <v>179.98</v>
      </c>
      <c r="O244" s="35">
        <v>3</v>
      </c>
      <c r="P244" s="51">
        <f t="shared" ca="1" si="12"/>
        <v>46105.940228703701</v>
      </c>
      <c r="Q244" s="52">
        <f t="shared" si="13"/>
        <v>8009.7699999999995</v>
      </c>
      <c r="R244" s="35">
        <f t="shared" si="14"/>
        <v>34</v>
      </c>
      <c r="S244" s="52" t="str">
        <f t="shared" si="15"/>
        <v>KH</v>
      </c>
    </row>
    <row r="245" spans="1:19" ht="15.75" customHeight="1" x14ac:dyDescent="0.3">
      <c r="A245" s="4" t="s">
        <v>394</v>
      </c>
      <c r="B245" s="5">
        <v>45748</v>
      </c>
      <c r="C245" s="4" t="s">
        <v>104</v>
      </c>
      <c r="D245" s="4" t="s">
        <v>105</v>
      </c>
      <c r="E245" s="4" t="s">
        <v>82</v>
      </c>
      <c r="F245" s="4" t="s">
        <v>83</v>
      </c>
      <c r="G245" s="4" t="s">
        <v>21</v>
      </c>
      <c r="H245" s="4">
        <v>2</v>
      </c>
      <c r="I245" s="4">
        <v>699.99</v>
      </c>
      <c r="J245" s="4" t="s">
        <v>36</v>
      </c>
      <c r="K245" s="4" t="s">
        <v>42</v>
      </c>
      <c r="L245" s="4" t="s">
        <v>38</v>
      </c>
      <c r="M245" s="5">
        <v>44618</v>
      </c>
      <c r="N245" s="4">
        <v>1399.98</v>
      </c>
      <c r="O245" s="35">
        <v>3</v>
      </c>
      <c r="P245" s="51">
        <f t="shared" ca="1" si="12"/>
        <v>46105.940228703701</v>
      </c>
      <c r="Q245" s="52">
        <f t="shared" si="13"/>
        <v>3769.8300000000004</v>
      </c>
      <c r="R245" s="35">
        <f t="shared" si="14"/>
        <v>31</v>
      </c>
      <c r="S245" s="52" t="str">
        <f t="shared" si="15"/>
        <v>CP</v>
      </c>
    </row>
    <row r="246" spans="1:19" ht="15.75" customHeight="1" x14ac:dyDescent="0.3">
      <c r="A246" s="4" t="s">
        <v>395</v>
      </c>
      <c r="B246" s="5">
        <v>45749</v>
      </c>
      <c r="C246" s="4" t="s">
        <v>125</v>
      </c>
      <c r="D246" s="4" t="s">
        <v>126</v>
      </c>
      <c r="E246" s="4" t="s">
        <v>63</v>
      </c>
      <c r="F246" s="4" t="s">
        <v>64</v>
      </c>
      <c r="G246" s="4" t="s">
        <v>21</v>
      </c>
      <c r="H246" s="4">
        <v>3</v>
      </c>
      <c r="I246" s="4">
        <v>899.99</v>
      </c>
      <c r="J246" s="4" t="s">
        <v>22</v>
      </c>
      <c r="K246" s="4" t="s">
        <v>23</v>
      </c>
      <c r="L246" s="4" t="s">
        <v>38</v>
      </c>
      <c r="M246" s="5">
        <v>44953</v>
      </c>
      <c r="N246" s="4">
        <v>2699.97</v>
      </c>
      <c r="O246" s="35">
        <v>2</v>
      </c>
      <c r="P246" s="51">
        <f t="shared" ca="1" si="12"/>
        <v>46105.940956365739</v>
      </c>
      <c r="Q246" s="52">
        <f t="shared" si="13"/>
        <v>11919.769999999999</v>
      </c>
      <c r="R246" s="35">
        <f t="shared" si="14"/>
        <v>24</v>
      </c>
      <c r="S246" s="52" t="str">
        <f t="shared" si="15"/>
        <v>EM</v>
      </c>
    </row>
    <row r="247" spans="1:19" ht="15.75" customHeight="1" x14ac:dyDescent="0.3">
      <c r="A247" s="4" t="s">
        <v>396</v>
      </c>
      <c r="B247" s="5">
        <v>45755</v>
      </c>
      <c r="C247" s="4" t="s">
        <v>95</v>
      </c>
      <c r="D247" s="4" t="s">
        <v>96</v>
      </c>
      <c r="E247" s="4" t="s">
        <v>116</v>
      </c>
      <c r="F247" s="4" t="s">
        <v>117</v>
      </c>
      <c r="G247" s="4" t="s">
        <v>35</v>
      </c>
      <c r="H247" s="4">
        <v>3</v>
      </c>
      <c r="I247" s="4">
        <v>79.989999999999995</v>
      </c>
      <c r="J247" s="4" t="s">
        <v>28</v>
      </c>
      <c r="K247" s="4" t="s">
        <v>42</v>
      </c>
      <c r="L247" s="4" t="s">
        <v>24</v>
      </c>
      <c r="M247" s="5">
        <v>44511</v>
      </c>
      <c r="N247" s="4">
        <v>239.97</v>
      </c>
      <c r="O247" s="35">
        <v>3</v>
      </c>
      <c r="P247" s="51">
        <f t="shared" ca="1" si="12"/>
        <v>46105.940228703701</v>
      </c>
      <c r="Q247" s="52">
        <f t="shared" si="13"/>
        <v>4789.7900000000009</v>
      </c>
      <c r="R247" s="35">
        <f t="shared" si="14"/>
        <v>14</v>
      </c>
      <c r="S247" s="52" t="str">
        <f t="shared" si="15"/>
        <v>VS</v>
      </c>
    </row>
    <row r="248" spans="1:19" ht="15.75" customHeight="1" x14ac:dyDescent="0.3">
      <c r="A248" s="4" t="s">
        <v>397</v>
      </c>
      <c r="B248" s="5">
        <v>45756</v>
      </c>
      <c r="C248" s="4" t="s">
        <v>61</v>
      </c>
      <c r="D248" s="4" t="s">
        <v>62</v>
      </c>
      <c r="E248" s="4" t="s">
        <v>119</v>
      </c>
      <c r="F248" s="4" t="s">
        <v>120</v>
      </c>
      <c r="G248" s="4" t="s">
        <v>21</v>
      </c>
      <c r="H248" s="4">
        <v>1</v>
      </c>
      <c r="I248" s="4">
        <v>89.99</v>
      </c>
      <c r="J248" s="4" t="s">
        <v>59</v>
      </c>
      <c r="K248" s="4" t="s">
        <v>65</v>
      </c>
      <c r="L248" s="4" t="s">
        <v>24</v>
      </c>
      <c r="M248" s="5">
        <v>45346</v>
      </c>
      <c r="N248" s="4">
        <v>89.99</v>
      </c>
      <c r="O248" s="35">
        <v>1</v>
      </c>
      <c r="P248" s="51">
        <f t="shared" ca="1" si="12"/>
        <v>46105.940228703701</v>
      </c>
      <c r="Q248" s="52">
        <f t="shared" si="13"/>
        <v>3509.8999999999996</v>
      </c>
      <c r="R248" s="35">
        <f t="shared" si="14"/>
        <v>34</v>
      </c>
      <c r="S248" s="52" t="str">
        <f t="shared" si="15"/>
        <v>RT</v>
      </c>
    </row>
    <row r="249" spans="1:19" ht="15.75" customHeight="1" x14ac:dyDescent="0.3">
      <c r="A249" s="4" t="s">
        <v>398</v>
      </c>
      <c r="B249" s="5">
        <v>45758</v>
      </c>
      <c r="C249" s="4" t="s">
        <v>295</v>
      </c>
      <c r="D249" s="4" t="s">
        <v>296</v>
      </c>
      <c r="E249" s="4" t="s">
        <v>82</v>
      </c>
      <c r="F249" s="4" t="s">
        <v>83</v>
      </c>
      <c r="G249" s="4" t="s">
        <v>21</v>
      </c>
      <c r="H249" s="4">
        <v>3</v>
      </c>
      <c r="I249" s="4">
        <v>699.99</v>
      </c>
      <c r="J249" s="4" t="s">
        <v>36</v>
      </c>
      <c r="K249" s="4" t="s">
        <v>42</v>
      </c>
      <c r="L249" s="4" t="s">
        <v>24</v>
      </c>
      <c r="M249" s="5">
        <v>44909</v>
      </c>
      <c r="N249" s="4">
        <v>2099.9699999999998</v>
      </c>
      <c r="O249" s="35">
        <v>2</v>
      </c>
      <c r="P249" s="51">
        <f t="shared" ca="1" si="12"/>
        <v>46105.940228703701</v>
      </c>
      <c r="Q249" s="52">
        <f t="shared" si="13"/>
        <v>4829.8899999999994</v>
      </c>
      <c r="R249" s="35">
        <f t="shared" si="14"/>
        <v>31</v>
      </c>
      <c r="S249" s="52" t="str">
        <f t="shared" si="15"/>
        <v>DW</v>
      </c>
    </row>
    <row r="250" spans="1:19" ht="15.75" customHeight="1" x14ac:dyDescent="0.3">
      <c r="A250" s="4" t="s">
        <v>399</v>
      </c>
      <c r="B250" s="5">
        <v>45758</v>
      </c>
      <c r="C250" s="4" t="s">
        <v>228</v>
      </c>
      <c r="D250" s="4" t="s">
        <v>229</v>
      </c>
      <c r="E250" s="4" t="s">
        <v>119</v>
      </c>
      <c r="F250" s="4" t="s">
        <v>120</v>
      </c>
      <c r="G250" s="4" t="s">
        <v>21</v>
      </c>
      <c r="H250" s="4">
        <v>2</v>
      </c>
      <c r="I250" s="4">
        <v>89.99</v>
      </c>
      <c r="J250" s="4" t="s">
        <v>59</v>
      </c>
      <c r="K250" s="4" t="s">
        <v>65</v>
      </c>
      <c r="L250" s="4" t="s">
        <v>24</v>
      </c>
      <c r="M250" s="5">
        <v>45088</v>
      </c>
      <c r="N250" s="4">
        <v>179.98</v>
      </c>
      <c r="O250" s="35">
        <v>1</v>
      </c>
      <c r="P250" s="51">
        <f t="shared" ca="1" si="12"/>
        <v>46105.940228703701</v>
      </c>
      <c r="Q250" s="52">
        <f t="shared" si="13"/>
        <v>6989.7699999999986</v>
      </c>
      <c r="R250" s="35">
        <f t="shared" si="14"/>
        <v>34</v>
      </c>
      <c r="S250" s="52" t="str">
        <f t="shared" si="15"/>
        <v>LR</v>
      </c>
    </row>
    <row r="251" spans="1:19" ht="15.75" customHeight="1" x14ac:dyDescent="0.3">
      <c r="A251" s="4" t="s">
        <v>400</v>
      </c>
      <c r="B251" s="5">
        <v>45758</v>
      </c>
      <c r="C251" s="4" t="s">
        <v>140</v>
      </c>
      <c r="D251" s="4" t="s">
        <v>141</v>
      </c>
      <c r="E251" s="4" t="s">
        <v>119</v>
      </c>
      <c r="F251" s="4" t="s">
        <v>120</v>
      </c>
      <c r="G251" s="4" t="s">
        <v>21</v>
      </c>
      <c r="H251" s="4">
        <v>3</v>
      </c>
      <c r="I251" s="4">
        <v>89.99</v>
      </c>
      <c r="J251" s="4" t="s">
        <v>59</v>
      </c>
      <c r="K251" s="4" t="s">
        <v>42</v>
      </c>
      <c r="L251" s="4" t="s">
        <v>29</v>
      </c>
      <c r="M251" s="5">
        <v>44878</v>
      </c>
      <c r="N251" s="4">
        <v>269.97000000000003</v>
      </c>
      <c r="O251" s="35">
        <v>2</v>
      </c>
      <c r="P251" s="51">
        <f t="shared" ca="1" si="12"/>
        <v>46105.940228703701</v>
      </c>
      <c r="Q251" s="52">
        <f t="shared" si="13"/>
        <v>2649.83</v>
      </c>
      <c r="R251" s="35">
        <f t="shared" si="14"/>
        <v>34</v>
      </c>
      <c r="S251" s="52" t="str">
        <f t="shared" si="15"/>
        <v>ST</v>
      </c>
    </row>
    <row r="252" spans="1:19" ht="15.75" customHeight="1" x14ac:dyDescent="0.3"/>
    <row r="253" spans="1:19" ht="15.75" customHeight="1" x14ac:dyDescent="0.3"/>
    <row r="254" spans="1:19" ht="15.75" customHeight="1" x14ac:dyDescent="0.3"/>
    <row r="255" spans="1:19" ht="15.75" customHeight="1" x14ac:dyDescent="0.3"/>
    <row r="256" spans="1:19"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1" sqref="U31">
    <scenario name="Medium Sales" locked="1" count="2" user="Ritu" comment="Created by Ritu on 26-03-2026_x000a_Modified by Ritu on 26-03-2026">
      <inputCells r="AA31" val="753"/>
      <inputCells r="AB30" val="74168"/>
    </scenario>
    <scenario name="High Sales" locked="1" count="2" user="Ritu" comment="Created by Ritu on 26-03-2026_x000a_Modified by Ritu on 26-03-2026">
      <inputCells r="AA31" val="800"/>
      <inputCells r="AB30" val="80000"/>
    </scenario>
    <scenario name="low Sales" locked="1" count="2" user="Ritu" comment="Created by Ritu on 26-03-2026_x000a_Modified by Ritu on 26-03-2026">
      <inputCells r="AA31" val="730"/>
      <inputCells r="AB30" val="71000"/>
    </scenario>
  </scenarios>
  <autoFilter ref="A1:R251" xr:uid="{00000000-0001-0000-0100-000000000000}"/>
  <conditionalFormatting sqref="Y14:Y26">
    <cfRule type="iconSet" priority="1">
      <iconSet iconSet="3Arrows">
        <cfvo type="percent" val="0"/>
        <cfvo type="percent" val="33"/>
        <cfvo type="percent" val="67"/>
      </iconSet>
    </cfRule>
  </conditionalFormatting>
  <pageMargins left="0.75" right="0.75" top="1" bottom="1" header="0" footer="0"/>
  <pageSetup orientation="landscape"/>
  <ignoredErrors>
    <ignoredError sqref="X49" calculatedColumn="1"/>
  </ignoredErrors>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7786-9795-492F-9A59-55BE0D989615}">
  <sheetPr>
    <tabColor theme="4"/>
  </sheetPr>
  <dimension ref="A1:Z40"/>
  <sheetViews>
    <sheetView tabSelected="1" zoomScale="93" zoomScaleNormal="93" workbookViewId="0">
      <selection activeCell="Z27" sqref="Z27"/>
    </sheetView>
  </sheetViews>
  <sheetFormatPr defaultRowHeight="14.4" x14ac:dyDescent="0.3"/>
  <sheetData>
    <row r="1" spans="1:26" x14ac:dyDescent="0.3">
      <c r="A1" s="35"/>
      <c r="B1" s="35"/>
      <c r="C1" s="35"/>
      <c r="D1" s="35"/>
      <c r="E1" s="35"/>
      <c r="F1" s="35"/>
      <c r="G1" s="35"/>
      <c r="H1" s="35"/>
      <c r="I1" s="35"/>
      <c r="J1" s="35"/>
      <c r="K1" s="35"/>
      <c r="L1" s="35"/>
      <c r="M1" s="35"/>
      <c r="N1" s="35"/>
      <c r="O1" s="35"/>
      <c r="P1" s="35"/>
      <c r="Q1" s="35"/>
      <c r="R1" s="35"/>
      <c r="S1" s="35"/>
      <c r="T1" s="35"/>
      <c r="U1" s="35"/>
      <c r="V1" s="35"/>
      <c r="W1" s="35"/>
      <c r="X1" s="35"/>
      <c r="Y1" s="35"/>
      <c r="Z1" s="35"/>
    </row>
    <row r="2" spans="1:26" x14ac:dyDescent="0.3">
      <c r="A2" s="35"/>
      <c r="B2" s="35"/>
      <c r="C2" s="35"/>
      <c r="D2" s="35"/>
      <c r="E2" s="35"/>
      <c r="F2" s="35"/>
      <c r="G2" s="35"/>
      <c r="H2" s="35"/>
      <c r="I2" s="35"/>
      <c r="J2" s="35"/>
      <c r="K2" s="35"/>
      <c r="L2" s="35"/>
      <c r="M2" s="35"/>
      <c r="N2" s="35"/>
      <c r="O2" s="35"/>
      <c r="P2" s="35"/>
      <c r="Q2" s="35"/>
      <c r="R2" s="35"/>
      <c r="S2" s="35"/>
      <c r="T2" s="35"/>
      <c r="U2" s="35"/>
      <c r="V2" s="35"/>
      <c r="W2" s="35"/>
      <c r="X2" s="35"/>
      <c r="Y2" s="35"/>
    </row>
    <row r="3" spans="1:26" x14ac:dyDescent="0.3">
      <c r="A3" s="35"/>
      <c r="B3" s="35"/>
      <c r="C3" s="35"/>
      <c r="D3" s="35"/>
      <c r="E3" s="35"/>
      <c r="F3" s="35"/>
      <c r="G3" s="35"/>
      <c r="H3" s="35"/>
      <c r="I3" s="35"/>
      <c r="J3" s="35"/>
      <c r="K3" s="35"/>
      <c r="L3" s="35"/>
      <c r="M3" s="35"/>
      <c r="N3" s="35"/>
      <c r="O3" s="35"/>
      <c r="P3" s="35"/>
      <c r="Q3" s="35"/>
      <c r="R3" s="35"/>
      <c r="S3" s="35"/>
      <c r="T3" s="35"/>
      <c r="U3" s="35"/>
      <c r="V3" s="35"/>
      <c r="W3" s="35"/>
      <c r="X3" s="35"/>
      <c r="Y3" s="35"/>
    </row>
    <row r="4" spans="1:26" x14ac:dyDescent="0.3">
      <c r="A4" s="35"/>
      <c r="B4" s="35"/>
      <c r="C4" s="35"/>
      <c r="D4" s="35"/>
      <c r="E4" s="35"/>
      <c r="F4" s="35"/>
      <c r="G4" s="35"/>
      <c r="H4" s="35"/>
      <c r="I4" s="35"/>
      <c r="J4" s="35"/>
      <c r="K4" s="35"/>
      <c r="L4" s="35"/>
      <c r="M4" s="35"/>
      <c r="N4" s="35"/>
      <c r="O4" s="35"/>
      <c r="P4" s="35"/>
      <c r="Q4" s="35"/>
      <c r="R4" s="35"/>
      <c r="S4" s="35"/>
      <c r="T4" s="35"/>
      <c r="U4" s="35"/>
      <c r="V4" s="35"/>
      <c r="W4" s="35"/>
      <c r="X4" s="35"/>
      <c r="Y4" s="35"/>
    </row>
    <row r="5" spans="1:26" x14ac:dyDescent="0.3">
      <c r="A5" s="35"/>
      <c r="B5" s="35"/>
      <c r="C5" s="35"/>
      <c r="D5" s="35"/>
      <c r="E5" s="35"/>
      <c r="F5" s="35"/>
      <c r="G5" s="35"/>
      <c r="H5" s="35"/>
      <c r="I5" s="35"/>
      <c r="J5" s="35"/>
      <c r="K5" s="35"/>
      <c r="L5" s="35"/>
      <c r="M5" s="35"/>
      <c r="N5" s="35"/>
      <c r="O5" s="35"/>
      <c r="P5" s="35"/>
      <c r="Q5" s="35"/>
      <c r="R5" s="35"/>
      <c r="S5" s="35"/>
      <c r="T5" s="35"/>
      <c r="U5" s="35"/>
      <c r="V5" s="35"/>
      <c r="W5" s="35"/>
      <c r="X5" s="35"/>
      <c r="Y5" s="35"/>
    </row>
    <row r="6" spans="1:26" x14ac:dyDescent="0.3">
      <c r="A6" s="35"/>
      <c r="B6" s="35"/>
      <c r="C6" s="35"/>
      <c r="D6" s="35"/>
      <c r="E6" s="35"/>
      <c r="F6" s="35"/>
      <c r="G6" s="35"/>
      <c r="H6" s="35"/>
      <c r="I6" s="35"/>
      <c r="J6" s="35"/>
      <c r="K6" s="35"/>
      <c r="L6" s="35"/>
      <c r="M6" s="35"/>
      <c r="N6" s="35"/>
      <c r="O6" s="35"/>
      <c r="P6" s="35"/>
      <c r="Q6" s="35"/>
      <c r="R6" s="35"/>
      <c r="S6" s="35"/>
      <c r="T6" s="35"/>
      <c r="U6" s="35"/>
      <c r="V6" s="35"/>
      <c r="W6" s="35"/>
      <c r="X6" s="35"/>
      <c r="Y6" s="35"/>
    </row>
    <row r="7" spans="1:26" x14ac:dyDescent="0.3">
      <c r="A7" s="35"/>
      <c r="B7" s="35"/>
      <c r="C7" s="35"/>
      <c r="D7" s="35"/>
      <c r="E7" s="35"/>
      <c r="F7" s="35"/>
      <c r="G7" s="35"/>
      <c r="H7" s="35"/>
      <c r="I7" s="35"/>
      <c r="J7" s="35"/>
      <c r="K7" s="35"/>
      <c r="L7" s="35"/>
      <c r="M7" s="35"/>
      <c r="N7" s="35"/>
      <c r="O7" s="35"/>
      <c r="P7" s="35"/>
      <c r="Q7" s="35"/>
      <c r="R7" s="35"/>
      <c r="S7" s="35"/>
      <c r="T7" s="35"/>
      <c r="U7" s="35"/>
      <c r="V7" s="35"/>
      <c r="W7" s="35"/>
      <c r="X7" s="35"/>
      <c r="Y7" s="35"/>
    </row>
    <row r="8" spans="1:26" x14ac:dyDescent="0.3">
      <c r="A8" s="35"/>
      <c r="B8" s="35"/>
      <c r="C8" s="35"/>
      <c r="D8" s="35"/>
      <c r="E8" s="35"/>
      <c r="F8" s="35"/>
      <c r="G8" s="35"/>
      <c r="H8" s="35"/>
      <c r="I8" s="35"/>
      <c r="J8" s="35"/>
      <c r="K8" s="35"/>
      <c r="L8" s="35"/>
      <c r="M8" s="35"/>
      <c r="N8" s="35"/>
      <c r="O8" s="35"/>
      <c r="P8" s="35"/>
      <c r="Q8" s="35"/>
      <c r="R8" s="35"/>
      <c r="S8" s="35"/>
      <c r="T8" s="35"/>
      <c r="U8" s="35"/>
      <c r="V8" s="35"/>
      <c r="W8" s="35"/>
      <c r="X8" s="35"/>
      <c r="Y8" s="35"/>
    </row>
    <row r="9" spans="1:26" x14ac:dyDescent="0.3">
      <c r="A9" s="35"/>
      <c r="B9" s="35"/>
      <c r="C9" s="35"/>
      <c r="D9" s="35"/>
      <c r="E9" s="35"/>
      <c r="F9" s="35"/>
      <c r="G9" s="35"/>
      <c r="H9" s="35"/>
      <c r="I9" s="35"/>
      <c r="J9" s="35"/>
      <c r="K9" s="35"/>
      <c r="L9" s="35"/>
      <c r="M9" s="35"/>
      <c r="N9" s="35"/>
      <c r="O9" s="35"/>
      <c r="P9" s="35"/>
      <c r="Q9" s="35"/>
      <c r="R9" s="35"/>
      <c r="S9" s="35"/>
      <c r="T9" s="35"/>
      <c r="U9" s="35"/>
      <c r="V9" s="35"/>
      <c r="W9" s="35"/>
      <c r="X9" s="35"/>
      <c r="Y9" s="35"/>
    </row>
    <row r="10" spans="1:26" x14ac:dyDescent="0.3">
      <c r="A10" s="35"/>
      <c r="B10" s="35"/>
      <c r="C10" s="35"/>
      <c r="D10" s="35"/>
      <c r="E10" s="35"/>
      <c r="F10" s="35"/>
      <c r="G10" s="35"/>
      <c r="H10" s="35"/>
      <c r="I10" s="35"/>
      <c r="J10" s="35"/>
      <c r="K10" s="35"/>
      <c r="L10" s="35"/>
      <c r="M10" s="35"/>
      <c r="N10" s="35"/>
      <c r="O10" s="35"/>
      <c r="P10" s="35"/>
      <c r="Q10" s="35"/>
      <c r="R10" s="35"/>
      <c r="S10" s="35"/>
      <c r="T10" s="35"/>
      <c r="U10" s="35"/>
      <c r="V10" s="35"/>
      <c r="W10" s="35"/>
      <c r="X10" s="35"/>
      <c r="Y10" s="35"/>
    </row>
    <row r="11" spans="1:26" x14ac:dyDescent="0.3">
      <c r="A11" s="35"/>
      <c r="B11" s="35"/>
      <c r="C11" s="35"/>
      <c r="D11" s="35"/>
      <c r="E11" s="35"/>
      <c r="F11" s="35"/>
      <c r="G11" s="35"/>
      <c r="H11" s="35"/>
      <c r="I11" s="35"/>
      <c r="J11" s="35"/>
      <c r="K11" s="35"/>
      <c r="L11" s="35"/>
      <c r="M11" s="35"/>
      <c r="N11" s="35"/>
      <c r="O11" s="35"/>
      <c r="P11" s="35"/>
      <c r="Q11" s="35"/>
      <c r="R11" s="35"/>
      <c r="S11" s="35"/>
      <c r="T11" s="35"/>
      <c r="U11" s="35"/>
      <c r="V11" s="35"/>
      <c r="W11" s="35"/>
      <c r="X11" s="35"/>
      <c r="Y11" s="35"/>
    </row>
    <row r="12" spans="1:26" x14ac:dyDescent="0.3">
      <c r="A12" s="35"/>
      <c r="B12" s="35"/>
      <c r="C12" s="35"/>
      <c r="D12" s="35"/>
      <c r="E12" s="35"/>
      <c r="F12" s="35"/>
      <c r="G12" s="35"/>
      <c r="H12" s="35"/>
      <c r="I12" s="35"/>
      <c r="J12" s="35"/>
      <c r="K12" s="35"/>
      <c r="L12" s="35"/>
      <c r="M12" s="35"/>
      <c r="N12" s="35"/>
      <c r="O12" s="35"/>
      <c r="P12" s="35"/>
      <c r="Q12" s="35"/>
      <c r="R12" s="35"/>
      <c r="S12" s="35"/>
      <c r="T12" s="35"/>
      <c r="U12" s="35"/>
      <c r="V12" s="35"/>
      <c r="W12" s="35"/>
      <c r="X12" s="35"/>
      <c r="Y12" s="35"/>
    </row>
    <row r="13" spans="1:26" x14ac:dyDescent="0.3">
      <c r="A13" s="35"/>
      <c r="B13" s="35"/>
      <c r="C13" s="35"/>
      <c r="D13" s="35"/>
      <c r="E13" s="35"/>
      <c r="F13" s="35"/>
      <c r="G13" s="35"/>
      <c r="H13" s="35"/>
      <c r="I13" s="35"/>
      <c r="J13" s="35"/>
      <c r="K13" s="35"/>
      <c r="L13" s="35"/>
      <c r="M13" s="35"/>
      <c r="N13" s="35"/>
      <c r="O13" s="35"/>
      <c r="P13" s="35"/>
      <c r="Q13" s="35"/>
      <c r="R13" s="35"/>
      <c r="S13" s="35"/>
      <c r="T13" s="35"/>
      <c r="U13" s="35"/>
      <c r="V13" s="35"/>
      <c r="W13" s="35"/>
      <c r="X13" s="35"/>
      <c r="Y13" s="35"/>
    </row>
    <row r="14" spans="1:26" x14ac:dyDescent="0.3">
      <c r="A14" s="35"/>
      <c r="B14" s="35"/>
      <c r="C14" s="35"/>
      <c r="D14" s="35"/>
      <c r="E14" s="35"/>
      <c r="F14" s="35"/>
      <c r="G14" s="35"/>
      <c r="H14" s="35"/>
      <c r="I14" s="35"/>
      <c r="J14" s="35"/>
      <c r="K14" s="35"/>
      <c r="L14" s="35"/>
      <c r="M14" s="35"/>
      <c r="N14" s="35"/>
      <c r="O14" s="35"/>
      <c r="P14" s="35"/>
      <c r="Q14" s="35"/>
      <c r="R14" s="35"/>
      <c r="S14" s="35"/>
      <c r="T14" s="35"/>
      <c r="U14" s="35"/>
      <c r="V14" s="35"/>
      <c r="W14" s="35"/>
      <c r="X14" s="35"/>
      <c r="Y14" s="35"/>
    </row>
    <row r="15" spans="1:26" x14ac:dyDescent="0.3">
      <c r="A15" s="35"/>
      <c r="B15" s="35"/>
      <c r="C15" s="35"/>
      <c r="D15" s="35"/>
      <c r="E15" s="35"/>
      <c r="F15" s="35"/>
      <c r="G15" s="35"/>
      <c r="H15" s="35"/>
      <c r="I15" s="35"/>
      <c r="J15" s="35"/>
      <c r="K15" s="35"/>
      <c r="L15" s="35"/>
      <c r="M15" s="35"/>
      <c r="N15" s="35"/>
      <c r="O15" s="35"/>
      <c r="P15" s="35"/>
      <c r="Q15" s="35"/>
      <c r="R15" s="35"/>
      <c r="S15" s="35"/>
      <c r="T15" s="35"/>
      <c r="U15" s="35"/>
      <c r="V15" s="35"/>
      <c r="W15" s="35"/>
      <c r="X15" s="35"/>
      <c r="Y15" s="35"/>
    </row>
    <row r="16" spans="1:26" x14ac:dyDescent="0.3">
      <c r="A16" s="35"/>
      <c r="B16" s="35"/>
      <c r="C16" s="35"/>
      <c r="D16" s="35"/>
      <c r="E16" s="35"/>
      <c r="F16" s="35"/>
      <c r="G16" s="35"/>
      <c r="H16" s="35"/>
      <c r="I16" s="35"/>
      <c r="J16" s="35"/>
      <c r="K16" s="35"/>
      <c r="L16" s="35"/>
      <c r="M16" s="35"/>
      <c r="N16" s="35"/>
      <c r="O16" s="35"/>
      <c r="P16" s="35"/>
      <c r="Q16" s="35"/>
      <c r="R16" s="35"/>
      <c r="S16" s="35"/>
      <c r="T16" s="35"/>
      <c r="U16" s="35"/>
      <c r="V16" s="35"/>
      <c r="W16" s="35"/>
      <c r="X16" s="35"/>
      <c r="Y16" s="35"/>
    </row>
    <row r="17" spans="1:25" x14ac:dyDescent="0.3">
      <c r="A17" s="35"/>
      <c r="B17" s="35"/>
      <c r="C17" s="35"/>
      <c r="D17" s="35"/>
      <c r="E17" s="35"/>
      <c r="F17" s="35"/>
      <c r="G17" s="35"/>
      <c r="H17" s="35"/>
      <c r="I17" s="35"/>
      <c r="J17" s="35"/>
      <c r="K17" s="35"/>
      <c r="L17" s="35"/>
      <c r="M17" s="35"/>
      <c r="N17" s="35"/>
      <c r="O17" s="35"/>
      <c r="P17" s="35"/>
      <c r="Q17" s="35"/>
      <c r="R17" s="35"/>
      <c r="S17" s="35"/>
      <c r="T17" s="35"/>
      <c r="U17" s="35"/>
      <c r="V17" s="35"/>
      <c r="W17" s="35"/>
      <c r="X17" s="35"/>
      <c r="Y17" s="35"/>
    </row>
    <row r="18" spans="1:25" x14ac:dyDescent="0.3">
      <c r="A18" s="35"/>
      <c r="B18" s="35"/>
      <c r="C18" s="35"/>
      <c r="D18" s="35"/>
      <c r="E18" s="35"/>
      <c r="F18" s="35"/>
      <c r="G18" s="35"/>
      <c r="H18" s="35"/>
      <c r="I18" s="35"/>
      <c r="J18" s="35"/>
      <c r="K18" s="35"/>
      <c r="L18" s="35"/>
      <c r="M18" s="35"/>
      <c r="N18" s="35"/>
      <c r="O18" s="35"/>
      <c r="P18" s="35"/>
      <c r="Q18" s="35"/>
      <c r="R18" s="35"/>
      <c r="S18" s="35"/>
      <c r="T18" s="35"/>
      <c r="U18" s="35"/>
      <c r="V18" s="35"/>
      <c r="W18" s="35"/>
      <c r="X18" s="35"/>
      <c r="Y18" s="35"/>
    </row>
    <row r="19" spans="1:25" x14ac:dyDescent="0.3">
      <c r="A19" s="35"/>
      <c r="B19" s="35"/>
      <c r="C19" s="35"/>
      <c r="D19" s="35"/>
      <c r="E19" s="35"/>
      <c r="F19" s="35"/>
      <c r="G19" s="35"/>
      <c r="H19" s="35"/>
      <c r="I19" s="35"/>
      <c r="J19" s="35"/>
      <c r="K19" s="35"/>
      <c r="L19" s="35"/>
      <c r="M19" s="35"/>
      <c r="N19" s="35"/>
      <c r="O19" s="35"/>
      <c r="P19" s="35"/>
      <c r="Q19" s="35"/>
      <c r="R19" s="35"/>
      <c r="S19" s="35"/>
      <c r="T19" s="35"/>
      <c r="U19" s="35"/>
      <c r="V19" s="35"/>
      <c r="W19" s="35"/>
      <c r="X19" s="35"/>
      <c r="Y19" s="35"/>
    </row>
    <row r="20" spans="1:25" x14ac:dyDescent="0.3">
      <c r="A20" s="35"/>
      <c r="B20" s="35"/>
      <c r="C20" s="35"/>
      <c r="D20" s="35"/>
      <c r="E20" s="35"/>
      <c r="F20" s="35"/>
      <c r="G20" s="35"/>
      <c r="H20" s="35"/>
      <c r="I20" s="35"/>
      <c r="J20" s="35"/>
      <c r="K20" s="35"/>
      <c r="L20" s="35"/>
      <c r="M20" s="35"/>
      <c r="N20" s="35"/>
      <c r="O20" s="35"/>
      <c r="P20" s="35"/>
      <c r="Q20" s="35"/>
      <c r="R20" s="35"/>
      <c r="S20" s="35"/>
      <c r="T20" s="35"/>
      <c r="U20" s="35"/>
      <c r="V20" s="35"/>
      <c r="W20" s="35"/>
      <c r="X20" s="35"/>
      <c r="Y20" s="35"/>
    </row>
    <row r="21" spans="1:25" x14ac:dyDescent="0.3">
      <c r="A21" s="35"/>
      <c r="B21" s="35"/>
      <c r="C21" s="35"/>
      <c r="D21" s="35"/>
      <c r="E21" s="35"/>
      <c r="F21" s="35"/>
      <c r="G21" s="35"/>
      <c r="H21" s="35"/>
      <c r="I21" s="35"/>
      <c r="J21" s="35"/>
      <c r="K21" s="35"/>
      <c r="L21" s="35"/>
      <c r="M21" s="35"/>
      <c r="N21" s="35"/>
      <c r="O21" s="35"/>
      <c r="P21" s="35"/>
      <c r="Q21" s="35"/>
      <c r="R21" s="35"/>
      <c r="S21" s="35"/>
      <c r="T21" s="35"/>
      <c r="U21" s="35"/>
      <c r="V21" s="35"/>
      <c r="W21" s="35"/>
      <c r="X21" s="35"/>
      <c r="Y21" s="35"/>
    </row>
    <row r="22" spans="1:25" x14ac:dyDescent="0.3">
      <c r="A22" s="35"/>
      <c r="B22" s="35"/>
      <c r="C22" s="35"/>
      <c r="D22" s="35"/>
      <c r="E22" s="35"/>
      <c r="F22" s="35"/>
      <c r="G22" s="35"/>
      <c r="H22" s="35"/>
      <c r="I22" s="35"/>
      <c r="J22" s="35"/>
      <c r="K22" s="35"/>
      <c r="L22" s="35"/>
      <c r="M22" s="35"/>
      <c r="N22" s="35"/>
      <c r="O22" s="35"/>
      <c r="P22" s="35"/>
      <c r="Q22" s="35"/>
      <c r="R22" s="35"/>
      <c r="S22" s="35"/>
      <c r="T22" s="35"/>
      <c r="U22" s="35"/>
      <c r="V22" s="35"/>
      <c r="W22" s="35"/>
      <c r="X22" s="35"/>
      <c r="Y22" s="35"/>
    </row>
    <row r="23" spans="1:25" x14ac:dyDescent="0.3">
      <c r="A23" s="35"/>
      <c r="B23" s="35"/>
      <c r="C23" s="35"/>
      <c r="D23" s="35"/>
      <c r="E23" s="35"/>
      <c r="F23" s="35"/>
      <c r="G23" s="35"/>
      <c r="H23" s="35"/>
      <c r="I23" s="35"/>
      <c r="J23" s="35"/>
      <c r="K23" s="35"/>
      <c r="L23" s="35"/>
      <c r="M23" s="35"/>
      <c r="N23" s="35"/>
      <c r="O23" s="35"/>
      <c r="P23" s="35"/>
      <c r="Q23" s="35"/>
      <c r="R23" s="35"/>
      <c r="S23" s="35"/>
      <c r="T23" s="35"/>
      <c r="U23" s="35"/>
      <c r="V23" s="35"/>
      <c r="W23" s="35"/>
      <c r="X23" s="35"/>
      <c r="Y23" s="35"/>
    </row>
    <row r="24" spans="1:25" x14ac:dyDescent="0.3">
      <c r="A24" s="35"/>
      <c r="B24" s="35"/>
      <c r="C24" s="35"/>
      <c r="D24" s="35"/>
      <c r="E24" s="35"/>
      <c r="F24" s="35"/>
      <c r="G24" s="35"/>
      <c r="H24" s="35"/>
      <c r="I24" s="35"/>
      <c r="J24" s="35"/>
      <c r="K24" s="35"/>
      <c r="L24" s="35"/>
      <c r="M24" s="35"/>
      <c r="N24" s="35"/>
      <c r="O24" s="35"/>
      <c r="P24" s="35"/>
      <c r="Q24" s="35"/>
      <c r="R24" s="35"/>
      <c r="S24" s="35"/>
      <c r="T24" s="35"/>
      <c r="U24" s="35"/>
      <c r="V24" s="35"/>
      <c r="W24" s="35"/>
      <c r="X24" s="35"/>
      <c r="Y24" s="35"/>
    </row>
    <row r="25" spans="1:25" x14ac:dyDescent="0.3">
      <c r="A25" s="35"/>
      <c r="B25" s="35"/>
      <c r="C25" s="35"/>
      <c r="D25" s="35"/>
      <c r="E25" s="35"/>
      <c r="F25" s="35"/>
      <c r="G25" s="35"/>
      <c r="H25" s="35"/>
      <c r="I25" s="35"/>
      <c r="J25" s="35"/>
      <c r="K25" s="35"/>
      <c r="L25" s="35"/>
      <c r="M25" s="35"/>
      <c r="N25" s="35"/>
      <c r="O25" s="35"/>
      <c r="P25" s="35"/>
      <c r="Q25" s="35"/>
      <c r="R25" s="35"/>
      <c r="S25" s="35"/>
      <c r="T25" s="35"/>
      <c r="U25" s="35"/>
      <c r="V25" s="35"/>
      <c r="W25" s="35"/>
      <c r="X25" s="35"/>
      <c r="Y25" s="35"/>
    </row>
    <row r="26" spans="1:25" x14ac:dyDescent="0.3">
      <c r="A26" s="35"/>
      <c r="B26" s="35"/>
      <c r="C26" s="35"/>
      <c r="D26" s="35"/>
      <c r="E26" s="35"/>
      <c r="F26" s="35"/>
      <c r="G26" s="35"/>
      <c r="H26" s="35"/>
      <c r="I26" s="35"/>
      <c r="J26" s="35"/>
      <c r="K26" s="35"/>
      <c r="L26" s="35"/>
      <c r="M26" s="35"/>
      <c r="N26" s="35"/>
      <c r="O26" s="35"/>
      <c r="P26" s="35"/>
      <c r="Q26" s="35"/>
      <c r="R26" s="35"/>
      <c r="S26" s="35"/>
      <c r="T26" s="35"/>
      <c r="U26" s="35"/>
      <c r="V26" s="35"/>
      <c r="W26" s="35"/>
      <c r="X26" s="35"/>
      <c r="Y26" s="35"/>
    </row>
    <row r="27" spans="1:25" x14ac:dyDescent="0.3">
      <c r="A27" s="35"/>
      <c r="B27" s="35"/>
      <c r="C27" s="35"/>
      <c r="D27" s="35"/>
      <c r="E27" s="35"/>
      <c r="F27" s="35"/>
      <c r="G27" s="35"/>
      <c r="H27" s="35"/>
      <c r="I27" s="35"/>
      <c r="J27" s="35"/>
      <c r="K27" s="35"/>
      <c r="L27" s="35"/>
      <c r="M27" s="35"/>
      <c r="N27" s="35"/>
      <c r="O27" s="35"/>
      <c r="P27" s="35"/>
      <c r="Q27" s="35"/>
      <c r="R27" s="35"/>
      <c r="S27" s="35"/>
      <c r="T27" s="35"/>
      <c r="U27" s="35"/>
      <c r="V27" s="35"/>
      <c r="W27" s="35"/>
      <c r="X27" s="35"/>
      <c r="Y27" s="35"/>
    </row>
    <row r="28" spans="1:25" x14ac:dyDescent="0.3">
      <c r="A28" s="35"/>
      <c r="B28" s="35"/>
      <c r="C28" s="35"/>
      <c r="D28" s="35"/>
      <c r="E28" s="35"/>
      <c r="F28" s="35"/>
      <c r="G28" s="35"/>
      <c r="H28" s="35"/>
      <c r="I28" s="35"/>
      <c r="J28" s="35"/>
      <c r="K28" s="35"/>
      <c r="L28" s="35"/>
      <c r="M28" s="35"/>
      <c r="N28" s="35"/>
      <c r="O28" s="35"/>
      <c r="P28" s="35"/>
      <c r="Q28" s="35"/>
      <c r="R28" s="35"/>
      <c r="S28" s="35"/>
      <c r="T28" s="35"/>
      <c r="U28" s="35"/>
      <c r="V28" s="35"/>
      <c r="W28" s="35"/>
      <c r="X28" s="35"/>
      <c r="Y28" s="35"/>
    </row>
    <row r="29" spans="1:25" x14ac:dyDescent="0.3">
      <c r="A29" s="35"/>
      <c r="B29" s="35"/>
      <c r="C29" s="35"/>
      <c r="D29" s="35"/>
      <c r="E29" s="35"/>
      <c r="F29" s="35"/>
      <c r="G29" s="35"/>
      <c r="H29" s="35"/>
      <c r="I29" s="35"/>
      <c r="J29" s="35"/>
      <c r="K29" s="35"/>
      <c r="L29" s="35"/>
      <c r="M29" s="35"/>
      <c r="N29" s="35"/>
      <c r="O29" s="35"/>
      <c r="P29" s="35"/>
      <c r="Q29" s="35"/>
      <c r="R29" s="35"/>
      <c r="S29" s="35"/>
      <c r="T29" s="35"/>
      <c r="U29" s="35"/>
      <c r="V29" s="35"/>
      <c r="W29" s="35"/>
      <c r="X29" s="35"/>
      <c r="Y29" s="35"/>
    </row>
    <row r="30" spans="1:25" x14ac:dyDescent="0.3">
      <c r="A30" s="35"/>
      <c r="B30" s="35"/>
      <c r="C30" s="35"/>
      <c r="D30" s="35"/>
      <c r="E30" s="35"/>
      <c r="F30" s="35"/>
      <c r="G30" s="35"/>
      <c r="H30" s="35"/>
      <c r="I30" s="35"/>
      <c r="J30" s="35"/>
      <c r="K30" s="35"/>
      <c r="L30" s="35"/>
      <c r="M30" s="35"/>
      <c r="N30" s="35"/>
      <c r="O30" s="35"/>
      <c r="P30" s="35"/>
      <c r="Q30" s="35"/>
      <c r="R30" s="35"/>
      <c r="S30" s="35"/>
      <c r="T30" s="35"/>
      <c r="U30" s="35"/>
      <c r="V30" s="35"/>
      <c r="W30" s="35"/>
      <c r="X30" s="35"/>
      <c r="Y30" s="35"/>
    </row>
    <row r="31" spans="1:25" x14ac:dyDescent="0.3">
      <c r="A31" s="35"/>
      <c r="B31" s="35"/>
      <c r="C31" s="35"/>
      <c r="D31" s="35"/>
      <c r="E31" s="35"/>
      <c r="F31" s="35"/>
      <c r="G31" s="35"/>
      <c r="H31" s="35"/>
      <c r="I31" s="35"/>
      <c r="J31" s="35"/>
      <c r="K31" s="35"/>
      <c r="L31" s="35"/>
      <c r="M31" s="35"/>
      <c r="N31" s="35"/>
      <c r="O31" s="35"/>
      <c r="P31" s="35"/>
      <c r="Q31" s="35"/>
      <c r="R31" s="35"/>
      <c r="S31" s="35"/>
      <c r="T31" s="35"/>
      <c r="U31" s="35"/>
      <c r="V31" s="35"/>
      <c r="W31" s="35"/>
      <c r="X31" s="35"/>
      <c r="Y31" s="35"/>
    </row>
    <row r="32" spans="1:25" x14ac:dyDescent="0.3">
      <c r="A32" s="35"/>
      <c r="B32" s="35"/>
      <c r="C32" s="35"/>
      <c r="D32" s="35"/>
      <c r="E32" s="35"/>
      <c r="F32" s="35"/>
      <c r="G32" s="35"/>
      <c r="H32" s="35"/>
      <c r="I32" s="35"/>
      <c r="J32" s="35"/>
      <c r="K32" s="35"/>
      <c r="L32" s="35"/>
      <c r="M32" s="35"/>
      <c r="N32" s="35"/>
      <c r="O32" s="35"/>
      <c r="P32" s="35"/>
      <c r="Q32" s="35"/>
      <c r="R32" s="35"/>
      <c r="S32" s="35"/>
      <c r="T32" s="35"/>
      <c r="U32" s="35"/>
      <c r="V32" s="35"/>
      <c r="W32" s="35"/>
      <c r="X32" s="35"/>
      <c r="Y32" s="35"/>
    </row>
    <row r="33" spans="1:25" x14ac:dyDescent="0.3">
      <c r="A33" s="35"/>
      <c r="B33" s="35"/>
      <c r="C33" s="35"/>
      <c r="D33" s="35"/>
      <c r="E33" s="35"/>
      <c r="F33" s="35"/>
      <c r="G33" s="35"/>
      <c r="H33" s="35"/>
      <c r="I33" s="35"/>
      <c r="J33" s="35"/>
      <c r="K33" s="35"/>
      <c r="L33" s="35"/>
      <c r="M33" s="35"/>
      <c r="N33" s="35"/>
      <c r="O33" s="35"/>
      <c r="P33" s="35"/>
      <c r="Q33" s="35"/>
      <c r="R33" s="35"/>
      <c r="S33" s="35"/>
      <c r="T33" s="35"/>
      <c r="U33" s="35"/>
      <c r="V33" s="35"/>
      <c r="W33" s="35"/>
      <c r="X33" s="35"/>
      <c r="Y33" s="35"/>
    </row>
    <row r="34" spans="1:25" x14ac:dyDescent="0.3">
      <c r="A34" s="35"/>
      <c r="B34" s="35"/>
      <c r="C34" s="35"/>
      <c r="D34" s="35"/>
      <c r="E34" s="35"/>
      <c r="F34" s="35"/>
      <c r="G34" s="35"/>
      <c r="H34" s="35"/>
      <c r="I34" s="35"/>
      <c r="J34" s="35"/>
      <c r="K34" s="35"/>
      <c r="L34" s="35"/>
      <c r="M34" s="35"/>
      <c r="N34" s="35"/>
      <c r="O34" s="35"/>
      <c r="P34" s="35"/>
      <c r="Q34" s="35"/>
      <c r="R34" s="35"/>
      <c r="S34" s="35"/>
      <c r="T34" s="35"/>
      <c r="U34" s="35"/>
      <c r="V34" s="35"/>
      <c r="W34" s="35"/>
      <c r="X34" s="35"/>
      <c r="Y34" s="35"/>
    </row>
    <row r="35" spans="1:25" x14ac:dyDescent="0.3">
      <c r="A35" s="35"/>
      <c r="B35" s="35"/>
      <c r="C35" s="35"/>
      <c r="D35" s="35"/>
      <c r="E35" s="35"/>
      <c r="F35" s="35"/>
      <c r="G35" s="35"/>
      <c r="H35" s="35"/>
      <c r="I35" s="35"/>
      <c r="J35" s="35"/>
      <c r="K35" s="35"/>
      <c r="L35" s="35"/>
      <c r="M35" s="35"/>
      <c r="N35" s="35"/>
      <c r="O35" s="35"/>
      <c r="P35" s="35"/>
      <c r="Q35" s="35"/>
      <c r="R35" s="35"/>
      <c r="S35" s="35"/>
      <c r="T35" s="35"/>
      <c r="U35" s="35"/>
      <c r="V35" s="35"/>
      <c r="W35" s="35"/>
      <c r="X35" s="35"/>
      <c r="Y35" s="35"/>
    </row>
    <row r="36" spans="1:25" x14ac:dyDescent="0.3">
      <c r="A36" s="35"/>
      <c r="B36" s="35"/>
      <c r="C36" s="35"/>
      <c r="D36" s="35"/>
      <c r="E36" s="35"/>
      <c r="F36" s="35"/>
      <c r="G36" s="35"/>
      <c r="H36" s="35"/>
      <c r="I36" s="35"/>
      <c r="J36" s="35"/>
      <c r="K36" s="35"/>
      <c r="L36" s="35"/>
      <c r="M36" s="35"/>
      <c r="N36" s="35"/>
      <c r="O36" s="35"/>
      <c r="P36" s="35"/>
      <c r="Q36" s="35"/>
      <c r="R36" s="35"/>
      <c r="S36" s="35"/>
      <c r="T36" s="35"/>
      <c r="U36" s="35"/>
      <c r="V36" s="35"/>
      <c r="W36" s="35"/>
      <c r="X36" s="35"/>
      <c r="Y36" s="35"/>
    </row>
    <row r="37" spans="1:25" x14ac:dyDescent="0.3">
      <c r="A37" s="35"/>
      <c r="B37" s="35"/>
      <c r="C37" s="35"/>
      <c r="D37" s="35"/>
      <c r="E37" s="35"/>
      <c r="F37" s="35"/>
      <c r="G37" s="35"/>
      <c r="H37" s="35"/>
      <c r="I37" s="35"/>
      <c r="J37" s="35"/>
      <c r="K37" s="35"/>
      <c r="L37" s="35"/>
      <c r="M37" s="35"/>
      <c r="N37" s="35"/>
      <c r="O37" s="35"/>
      <c r="P37" s="35"/>
      <c r="Q37" s="35"/>
      <c r="R37" s="35"/>
      <c r="S37" s="35"/>
      <c r="T37" s="35"/>
      <c r="U37" s="35"/>
      <c r="V37" s="35"/>
      <c r="W37" s="35"/>
      <c r="X37" s="35"/>
      <c r="Y37" s="35"/>
    </row>
    <row r="38" spans="1:25" x14ac:dyDescent="0.3">
      <c r="A38" s="35"/>
      <c r="B38" s="35"/>
      <c r="C38" s="35"/>
      <c r="D38" s="35"/>
      <c r="E38" s="35"/>
      <c r="F38" s="35"/>
      <c r="G38" s="35"/>
      <c r="H38" s="35"/>
      <c r="I38" s="35"/>
      <c r="J38" s="35"/>
      <c r="K38" s="35"/>
      <c r="L38" s="35"/>
      <c r="M38" s="35"/>
      <c r="N38" s="35"/>
      <c r="O38" s="35"/>
      <c r="P38" s="35"/>
      <c r="Q38" s="35"/>
      <c r="R38" s="35"/>
      <c r="S38" s="35"/>
      <c r="T38" s="35"/>
      <c r="U38" s="35"/>
      <c r="V38" s="35"/>
      <c r="W38" s="35"/>
      <c r="X38" s="35"/>
      <c r="Y38" s="35"/>
    </row>
    <row r="39" spans="1:25" x14ac:dyDescent="0.3">
      <c r="A39" s="35"/>
      <c r="B39" s="35"/>
      <c r="C39" s="35"/>
      <c r="D39" s="35"/>
      <c r="E39" s="35"/>
      <c r="F39" s="35"/>
      <c r="G39" s="35"/>
      <c r="H39" s="35"/>
      <c r="I39" s="35"/>
      <c r="J39" s="35"/>
      <c r="K39" s="35"/>
      <c r="L39" s="35"/>
      <c r="M39" s="35"/>
      <c r="N39" s="35"/>
      <c r="O39" s="35"/>
      <c r="P39" s="35"/>
      <c r="Q39" s="35"/>
      <c r="R39" s="35"/>
      <c r="S39" s="35"/>
      <c r="T39" s="35"/>
      <c r="U39" s="35"/>
      <c r="V39" s="35"/>
      <c r="W39" s="35"/>
      <c r="X39" s="35"/>
      <c r="Y39" s="35"/>
    </row>
    <row r="40" spans="1:25" x14ac:dyDescent="0.3">
      <c r="A40" s="35"/>
      <c r="B40" s="35"/>
      <c r="C40" s="35"/>
      <c r="D40" s="35"/>
      <c r="E40" s="35"/>
      <c r="F40" s="35"/>
      <c r="G40" s="35"/>
      <c r="H40" s="35"/>
      <c r="I40" s="35"/>
      <c r="J40" s="35"/>
      <c r="K40" s="35"/>
      <c r="L40" s="35"/>
      <c r="M40" s="35"/>
      <c r="N40" s="35"/>
      <c r="O40" s="35"/>
      <c r="P40" s="35"/>
      <c r="Q40" s="35"/>
      <c r="R40" s="35"/>
      <c r="S40" s="35"/>
      <c r="T40" s="35"/>
      <c r="U40" s="35"/>
      <c r="V40" s="35"/>
      <c r="W40" s="35"/>
      <c r="X40" s="35"/>
      <c r="Y40"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3563B-0558-40B0-8AB8-B0D8C14777F5}">
  <dimension ref="A1:I18"/>
  <sheetViews>
    <sheetView workbookViewId="0">
      <selection activeCell="D19" sqref="D19"/>
    </sheetView>
  </sheetViews>
  <sheetFormatPr defaultRowHeight="14.4" x14ac:dyDescent="0.3"/>
  <cols>
    <col min="1" max="1" width="17.44140625" bestFit="1" customWidth="1"/>
    <col min="2" max="2" width="12.6640625" bestFit="1" customWidth="1"/>
    <col min="3" max="3" width="13.44140625" bestFit="1" customWidth="1"/>
    <col min="4" max="4" width="12.6640625" bestFit="1" customWidth="1"/>
    <col min="5" max="5" width="12" bestFit="1" customWidth="1"/>
    <col min="6" max="6" width="12.6640625" bestFit="1" customWidth="1"/>
    <col min="7" max="7" width="12" bestFit="1" customWidth="1"/>
    <col min="8" max="8" width="12.6640625" bestFit="1" customWidth="1"/>
    <col min="9" max="9" width="12.109375" bestFit="1" customWidth="1"/>
  </cols>
  <sheetData>
    <row r="1" spans="1:9" x14ac:dyDescent="0.3">
      <c r="A1" t="s">
        <v>425</v>
      </c>
    </row>
    <row r="2" spans="1:9" ht="15" thickBot="1" x14ac:dyDescent="0.35"/>
    <row r="3" spans="1:9" x14ac:dyDescent="0.3">
      <c r="A3" s="45" t="s">
        <v>426</v>
      </c>
      <c r="B3" s="45"/>
    </row>
    <row r="4" spans="1:9" x14ac:dyDescent="0.3">
      <c r="A4" t="s">
        <v>427</v>
      </c>
      <c r="B4">
        <v>0.45809869406349091</v>
      </c>
    </row>
    <row r="5" spans="1:9" x14ac:dyDescent="0.3">
      <c r="A5" t="s">
        <v>428</v>
      </c>
      <c r="B5">
        <v>0.20985441350267586</v>
      </c>
    </row>
    <row r="6" spans="1:9" x14ac:dyDescent="0.3">
      <c r="A6" t="s">
        <v>429</v>
      </c>
      <c r="B6">
        <v>0.20665544351685675</v>
      </c>
    </row>
    <row r="7" spans="1:9" x14ac:dyDescent="0.3">
      <c r="A7" t="s">
        <v>430</v>
      </c>
      <c r="B7">
        <v>921.40854264214693</v>
      </c>
    </row>
    <row r="8" spans="1:9" ht="15" thickBot="1" x14ac:dyDescent="0.35">
      <c r="A8" s="16" t="s">
        <v>431</v>
      </c>
      <c r="B8" s="16">
        <v>249</v>
      </c>
    </row>
    <row r="10" spans="1:9" ht="15" thickBot="1" x14ac:dyDescent="0.35">
      <c r="A10" t="s">
        <v>432</v>
      </c>
    </row>
    <row r="11" spans="1:9" x14ac:dyDescent="0.3">
      <c r="A11" s="46"/>
      <c r="B11" s="46" t="s">
        <v>437</v>
      </c>
      <c r="C11" s="46" t="s">
        <v>438</v>
      </c>
      <c r="D11" s="46" t="s">
        <v>439</v>
      </c>
      <c r="E11" s="46" t="s">
        <v>440</v>
      </c>
      <c r="F11" s="46" t="s">
        <v>441</v>
      </c>
    </row>
    <row r="12" spans="1:9" x14ac:dyDescent="0.3">
      <c r="A12" t="s">
        <v>433</v>
      </c>
      <c r="B12">
        <v>1</v>
      </c>
      <c r="C12">
        <v>55694513.010666132</v>
      </c>
      <c r="D12">
        <v>55694513.010666132</v>
      </c>
      <c r="E12">
        <v>65.600619709765951</v>
      </c>
      <c r="F12">
        <v>2.5391277291094679E-14</v>
      </c>
    </row>
    <row r="13" spans="1:9" x14ac:dyDescent="0.3">
      <c r="A13" t="s">
        <v>434</v>
      </c>
      <c r="B13">
        <v>247</v>
      </c>
      <c r="C13">
        <v>209701444.50611952</v>
      </c>
      <c r="D13">
        <v>848993.70245392516</v>
      </c>
    </row>
    <row r="14" spans="1:9" ht="15" thickBot="1" x14ac:dyDescent="0.35">
      <c r="A14" s="16" t="s">
        <v>435</v>
      </c>
      <c r="B14" s="16">
        <v>248</v>
      </c>
      <c r="C14" s="16">
        <v>265395957.51678565</v>
      </c>
      <c r="D14" s="16"/>
      <c r="E14" s="16"/>
      <c r="F14" s="16"/>
    </row>
    <row r="15" spans="1:9" ht="15" thickBot="1" x14ac:dyDescent="0.35"/>
    <row r="16" spans="1:9" x14ac:dyDescent="0.3">
      <c r="A16" s="46"/>
      <c r="B16" s="46" t="s">
        <v>442</v>
      </c>
      <c r="C16" s="46" t="s">
        <v>430</v>
      </c>
      <c r="D16" s="46" t="s">
        <v>443</v>
      </c>
      <c r="E16" s="46" t="s">
        <v>444</v>
      </c>
      <c r="F16" s="46" t="s">
        <v>445</v>
      </c>
      <c r="G16" s="46" t="s">
        <v>446</v>
      </c>
      <c r="H16" s="46" t="s">
        <v>447</v>
      </c>
      <c r="I16" s="46" t="s">
        <v>448</v>
      </c>
    </row>
    <row r="17" spans="1:9" x14ac:dyDescent="0.3">
      <c r="A17" t="s">
        <v>436</v>
      </c>
      <c r="B17">
        <v>-148.18856276399686</v>
      </c>
      <c r="C17">
        <v>143.94399015159905</v>
      </c>
      <c r="D17">
        <v>-1.029487668140417</v>
      </c>
      <c r="E17">
        <v>0.30425761488766012</v>
      </c>
      <c r="F17">
        <v>-431.70276968654099</v>
      </c>
      <c r="G17">
        <v>135.32564415854728</v>
      </c>
      <c r="H17">
        <v>-431.70276968654099</v>
      </c>
      <c r="I17">
        <v>135.32564415854728</v>
      </c>
    </row>
    <row r="18" spans="1:9" ht="15" thickBot="1" x14ac:dyDescent="0.35">
      <c r="A18" s="16">
        <v>3</v>
      </c>
      <c r="B18" s="16">
        <v>353.78860283764737</v>
      </c>
      <c r="C18" s="16">
        <v>43.680727926547888</v>
      </c>
      <c r="D18" s="16">
        <v>8.099420949041118</v>
      </c>
      <c r="E18" s="16">
        <v>2.5391277291093214E-14</v>
      </c>
      <c r="F18" s="16">
        <v>267.75439659637294</v>
      </c>
      <c r="G18" s="16">
        <v>439.82280907892181</v>
      </c>
      <c r="H18" s="16">
        <v>267.75439659637294</v>
      </c>
      <c r="I18" s="16">
        <v>439.82280907892181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0CC2-6279-470D-AA9B-E343176567C5}">
  <sheetPr>
    <outlinePr summaryBelow="0"/>
  </sheetPr>
  <dimension ref="B1:G12"/>
  <sheetViews>
    <sheetView showGridLines="0" workbookViewId="0">
      <selection activeCell="K8" sqref="K8"/>
    </sheetView>
  </sheetViews>
  <sheetFormatPr defaultRowHeight="14.4" outlineLevelRow="1" outlineLevelCol="1" x14ac:dyDescent="0.3"/>
  <cols>
    <col min="3" max="3" width="6.33203125" bestFit="1" customWidth="1"/>
    <col min="4" max="7" width="13.109375" bestFit="1" customWidth="1" outlineLevel="1"/>
  </cols>
  <sheetData>
    <row r="1" spans="2:7" ht="15" thickBot="1" x14ac:dyDescent="0.35"/>
    <row r="2" spans="2:7" ht="15.6" x14ac:dyDescent="0.3">
      <c r="B2" s="21" t="s">
        <v>457</v>
      </c>
      <c r="C2" s="21"/>
      <c r="D2" s="26"/>
      <c r="E2" s="26"/>
      <c r="F2" s="26"/>
      <c r="G2" s="26"/>
    </row>
    <row r="3" spans="2:7" ht="15.6" collapsed="1" x14ac:dyDescent="0.3">
      <c r="B3" s="20"/>
      <c r="C3" s="20"/>
      <c r="D3" s="27" t="s">
        <v>459</v>
      </c>
      <c r="E3" s="27" t="s">
        <v>453</v>
      </c>
      <c r="F3" s="27" t="s">
        <v>455</v>
      </c>
      <c r="G3" s="27" t="s">
        <v>456</v>
      </c>
    </row>
    <row r="4" spans="2:7" ht="40.799999999999997" hidden="1" outlineLevel="1" x14ac:dyDescent="0.3">
      <c r="B4" s="23"/>
      <c r="C4" s="23"/>
      <c r="D4" s="18"/>
      <c r="E4" s="29" t="s">
        <v>454</v>
      </c>
      <c r="F4" s="29" t="s">
        <v>454</v>
      </c>
      <c r="G4" s="29" t="s">
        <v>454</v>
      </c>
    </row>
    <row r="5" spans="2:7" x14ac:dyDescent="0.3">
      <c r="B5" s="24" t="s">
        <v>458</v>
      </c>
      <c r="C5" s="24"/>
      <c r="D5" s="22"/>
      <c r="E5" s="22"/>
      <c r="F5" s="22"/>
      <c r="G5" s="22"/>
    </row>
    <row r="6" spans="2:7" outlineLevel="1" x14ac:dyDescent="0.3">
      <c r="B6" s="23"/>
      <c r="C6" s="23" t="s">
        <v>450</v>
      </c>
      <c r="D6" s="18">
        <v>753</v>
      </c>
      <c r="E6" s="28">
        <v>753</v>
      </c>
      <c r="F6" s="28">
        <v>800</v>
      </c>
      <c r="G6" s="28">
        <v>730</v>
      </c>
    </row>
    <row r="7" spans="2:7" outlineLevel="1" x14ac:dyDescent="0.3">
      <c r="B7" s="23"/>
      <c r="C7" s="23" t="s">
        <v>451</v>
      </c>
      <c r="D7" s="18">
        <v>74168</v>
      </c>
      <c r="E7" s="28">
        <v>74168</v>
      </c>
      <c r="F7" s="28">
        <v>80000</v>
      </c>
      <c r="G7" s="28">
        <v>71000</v>
      </c>
    </row>
    <row r="8" spans="2:7" x14ac:dyDescent="0.3">
      <c r="B8" s="24" t="s">
        <v>460</v>
      </c>
      <c r="C8" s="24"/>
      <c r="D8" s="22"/>
      <c r="E8" s="22"/>
      <c r="F8" s="22"/>
      <c r="G8" s="22"/>
    </row>
    <row r="9" spans="2:7" ht="15" outlineLevel="1" thickBot="1" x14ac:dyDescent="0.35">
      <c r="B9" s="25"/>
      <c r="C9" s="25" t="s">
        <v>452</v>
      </c>
      <c r="D9" s="19"/>
      <c r="E9" s="19"/>
      <c r="F9" s="19"/>
      <c r="G9" s="19"/>
    </row>
    <row r="10" spans="2:7" x14ac:dyDescent="0.3">
      <c r="B10" t="s">
        <v>461</v>
      </c>
    </row>
    <row r="11" spans="2:7" x14ac:dyDescent="0.3">
      <c r="B11" t="s">
        <v>462</v>
      </c>
    </row>
    <row r="12" spans="2:7" x14ac:dyDescent="0.3">
      <c r="B12" t="s">
        <v>463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C94EB-74A7-4912-AAF2-63E55968B0D4}">
  <dimension ref="A1:F51"/>
  <sheetViews>
    <sheetView workbookViewId="0">
      <selection activeCell="F4" sqref="F4"/>
    </sheetView>
  </sheetViews>
  <sheetFormatPr defaultRowHeight="14.4" x14ac:dyDescent="0.3"/>
  <cols>
    <col min="1" max="1" width="15.21875" bestFit="1" customWidth="1"/>
    <col min="2" max="2" width="31.77734375" bestFit="1" customWidth="1"/>
    <col min="3" max="3" width="14.44140625" customWidth="1"/>
    <col min="4" max="4" width="10.21875" customWidth="1"/>
    <col min="5" max="5" width="15.44140625" customWidth="1"/>
    <col min="6" max="6" width="18.44140625" customWidth="1"/>
  </cols>
  <sheetData>
    <row r="1" spans="1:6" x14ac:dyDescent="0.3">
      <c r="A1" s="3" t="s">
        <v>5</v>
      </c>
      <c r="B1" s="3" t="s">
        <v>464</v>
      </c>
      <c r="C1" s="3" t="s">
        <v>468</v>
      </c>
    </row>
    <row r="2" spans="1:6" x14ac:dyDescent="0.3">
      <c r="A2" s="4" t="s">
        <v>18</v>
      </c>
      <c r="B2" s="31">
        <f>SUMIFS('Final Project Dataset'!$N$2:$N$251,'Final Project Dataset'!$D$2:$D$251,'Top 5 Customers'!A2)</f>
        <v>8309.739999999998</v>
      </c>
      <c r="C2" t="str">
        <f>IF(B2&gt;8000,"High Value","Normal")</f>
        <v>High Value</v>
      </c>
    </row>
    <row r="3" spans="1:6" x14ac:dyDescent="0.3">
      <c r="A3" s="4" t="s">
        <v>27</v>
      </c>
      <c r="B3" s="31">
        <f>SUMIFS('Final Project Dataset'!$N$2:$N$251,'Final Project Dataset'!$D$2:$D$251,'Top 5 Customers'!A3)</f>
        <v>6949.84</v>
      </c>
      <c r="C3" t="str">
        <f>IF(B3&gt;8000,"High Value","Normal")</f>
        <v>Normal</v>
      </c>
      <c r="D3" s="32" t="s">
        <v>466</v>
      </c>
      <c r="E3" s="32" t="s">
        <v>465</v>
      </c>
      <c r="F3" s="32" t="s">
        <v>5</v>
      </c>
    </row>
    <row r="4" spans="1:6" x14ac:dyDescent="0.3">
      <c r="A4" s="4" t="s">
        <v>32</v>
      </c>
      <c r="B4" s="31">
        <f>SUMIFS('Final Project Dataset'!$N$2:$N$251,'Final Project Dataset'!$D$2:$D$251,'Top 5 Customers'!A4)</f>
        <v>3259.87</v>
      </c>
      <c r="C4" t="str">
        <f>IF(B4&gt;8000,"High Value","Normal")</f>
        <v>Normal</v>
      </c>
      <c r="D4" s="3">
        <v>1</v>
      </c>
      <c r="E4" s="3">
        <f>LARGE(B2:B51,1)</f>
        <v>15659.65</v>
      </c>
      <c r="F4" s="3" t="str">
        <f>INDEX(A2:B51,MATCH(E4,B2:B51,0),1)</f>
        <v>Mark Carter</v>
      </c>
    </row>
    <row r="5" spans="1:6" x14ac:dyDescent="0.3">
      <c r="A5" s="4" t="s">
        <v>41</v>
      </c>
      <c r="B5" s="31">
        <f>SUMIFS('Final Project Dataset'!$N$2:$N$251,'Final Project Dataset'!$D$2:$D$251,'Top 5 Customers'!A5)</f>
        <v>4309.8099999999995</v>
      </c>
      <c r="C5" t="str">
        <f>IF(B5&gt;8000,"High Value","Normal")</f>
        <v>Normal</v>
      </c>
      <c r="D5" s="3">
        <v>2</v>
      </c>
      <c r="E5" s="3">
        <f>LARGE(B3:B52,2)</f>
        <v>11919.769999999999</v>
      </c>
      <c r="F5" s="3" t="str">
        <f t="shared" ref="F5:F8" si="0">INDEX(A3:B52,MATCH(E5,B3:B52,0),1)</f>
        <v>Edward Mitchell</v>
      </c>
    </row>
    <row r="6" spans="1:6" x14ac:dyDescent="0.3">
      <c r="A6" s="4" t="s">
        <v>45</v>
      </c>
      <c r="B6" s="31">
        <f>SUMIFS('Final Project Dataset'!$N$2:$N$251,'Final Project Dataset'!$D$2:$D$251,'Top 5 Customers'!A6)</f>
        <v>6169.7400000000007</v>
      </c>
      <c r="C6" t="str">
        <f>IF(B6&gt;8000,"High Value","Normal")</f>
        <v>Normal</v>
      </c>
      <c r="D6" s="3">
        <v>3</v>
      </c>
      <c r="E6" s="3">
        <f>LARGE(B4:B53,3)</f>
        <v>10649.8</v>
      </c>
      <c r="F6" s="3" t="str">
        <f t="shared" si="0"/>
        <v>Barbara Young</v>
      </c>
    </row>
    <row r="7" spans="1:6" x14ac:dyDescent="0.3">
      <c r="A7" s="4" t="s">
        <v>51</v>
      </c>
      <c r="B7" s="31">
        <f>SUMIFS('Final Project Dataset'!$N$2:$N$251,'Final Project Dataset'!$D$2:$D$251,'Top 5 Customers'!A7)</f>
        <v>8269.7900000000009</v>
      </c>
      <c r="C7" t="str">
        <f>IF(B7&gt;8000,"High Value","Normal")</f>
        <v>High Value</v>
      </c>
      <c r="D7" s="3">
        <v>4</v>
      </c>
      <c r="E7" s="3">
        <f>LARGE(B5:B54,4)</f>
        <v>9799.73</v>
      </c>
      <c r="F7" s="3" t="str">
        <f t="shared" si="0"/>
        <v>Patricia Moore</v>
      </c>
    </row>
    <row r="8" spans="1:6" x14ac:dyDescent="0.3">
      <c r="A8" s="4" t="s">
        <v>58</v>
      </c>
      <c r="B8" s="31">
        <f>SUMIFS('Final Project Dataset'!$N$2:$N$251,'Final Project Dataset'!$D$2:$D$251,'Top 5 Customers'!A8)</f>
        <v>5089.7300000000005</v>
      </c>
      <c r="C8" t="str">
        <f>IF(B8&gt;8000,"High Value","Normal")</f>
        <v>Normal</v>
      </c>
      <c r="D8" s="3">
        <v>5</v>
      </c>
      <c r="E8" s="3">
        <f>LARGE(B6:B55,5)</f>
        <v>8269.7900000000009</v>
      </c>
      <c r="F8" s="3" t="str">
        <f t="shared" si="0"/>
        <v>Dorothy Nelson</v>
      </c>
    </row>
    <row r="9" spans="1:6" x14ac:dyDescent="0.3">
      <c r="A9" s="4" t="s">
        <v>62</v>
      </c>
      <c r="B9" s="31">
        <f>SUMIFS('Final Project Dataset'!$N$2:$N$251,'Final Project Dataset'!$D$2:$D$251,'Top 5 Customers'!A9)</f>
        <v>3509.8999999999996</v>
      </c>
      <c r="C9" t="str">
        <f>IF(B9&gt;8000,"High Value","Normal")</f>
        <v>Normal</v>
      </c>
    </row>
    <row r="10" spans="1:6" x14ac:dyDescent="0.3">
      <c r="A10" s="4" t="s">
        <v>68</v>
      </c>
      <c r="B10" s="31">
        <f>SUMIFS('Final Project Dataset'!$N$2:$N$251,'Final Project Dataset'!$D$2:$D$251,'Top 5 Customers'!A10)</f>
        <v>8009.7699999999995</v>
      </c>
      <c r="C10" t="str">
        <f>IF(B10&gt;8000,"High Value","Normal")</f>
        <v>High Value</v>
      </c>
    </row>
    <row r="11" spans="1:6" x14ac:dyDescent="0.3">
      <c r="A11" s="4" t="s">
        <v>71</v>
      </c>
      <c r="B11" s="31">
        <f>SUMIFS('Final Project Dataset'!$N$2:$N$251,'Final Project Dataset'!$D$2:$D$251,'Top 5 Customers'!A11)</f>
        <v>1979.89</v>
      </c>
      <c r="C11" t="str">
        <f>IF(B11&gt;8000,"High Value","Normal")</f>
        <v>Normal</v>
      </c>
    </row>
    <row r="12" spans="1:6" x14ac:dyDescent="0.3">
      <c r="A12" s="4" t="s">
        <v>75</v>
      </c>
      <c r="B12" s="31">
        <f>SUMIFS('Final Project Dataset'!$N$2:$N$251,'Final Project Dataset'!$D$2:$D$251,'Top 5 Customers'!A12)</f>
        <v>5949.85</v>
      </c>
      <c r="C12" t="str">
        <f>IF(B12&gt;8000,"High Value","Normal")</f>
        <v>Normal</v>
      </c>
    </row>
    <row r="13" spans="1:6" x14ac:dyDescent="0.3">
      <c r="A13" s="4" t="s">
        <v>78</v>
      </c>
      <c r="B13" s="31">
        <f>SUMIFS('Final Project Dataset'!$N$2:$N$251,'Final Project Dataset'!$D$2:$D$251,'Top 5 Customers'!A13)</f>
        <v>479.91999999999996</v>
      </c>
      <c r="C13" t="str">
        <f>IF(B13&gt;8000,"High Value","Normal")</f>
        <v>Normal</v>
      </c>
    </row>
    <row r="14" spans="1:6" x14ac:dyDescent="0.3">
      <c r="A14" s="4" t="s">
        <v>81</v>
      </c>
      <c r="B14" s="31">
        <f>SUMIFS('Final Project Dataset'!$N$2:$N$251,'Final Project Dataset'!$D$2:$D$251,'Top 5 Customers'!A14)</f>
        <v>4199.9399999999996</v>
      </c>
      <c r="C14" t="str">
        <f>IF(B14&gt;8000,"High Value","Normal")</f>
        <v>Normal</v>
      </c>
    </row>
    <row r="15" spans="1:6" x14ac:dyDescent="0.3">
      <c r="A15" s="4" t="s">
        <v>86</v>
      </c>
      <c r="B15" s="31">
        <f>SUMIFS('Final Project Dataset'!$N$2:$N$251,'Final Project Dataset'!$D$2:$D$251,'Top 5 Customers'!A15)</f>
        <v>3779.93</v>
      </c>
      <c r="C15" t="str">
        <f>IF(B15&gt;8000,"High Value","Normal")</f>
        <v>Normal</v>
      </c>
    </row>
    <row r="16" spans="1:6" x14ac:dyDescent="0.3">
      <c r="A16" s="4" t="s">
        <v>89</v>
      </c>
      <c r="B16" s="31">
        <f>SUMIFS('Final Project Dataset'!$N$2:$N$251,'Final Project Dataset'!$D$2:$D$251,'Top 5 Customers'!A16)</f>
        <v>15659.65</v>
      </c>
      <c r="C16" t="str">
        <f>IF(B16&gt;8000,"High Value","Normal")</f>
        <v>High Value</v>
      </c>
    </row>
    <row r="17" spans="1:3" x14ac:dyDescent="0.3">
      <c r="A17" s="4" t="s">
        <v>92</v>
      </c>
      <c r="B17" s="31">
        <f>SUMIFS('Final Project Dataset'!$N$2:$N$251,'Final Project Dataset'!$D$2:$D$251,'Top 5 Customers'!A17)</f>
        <v>1909.93</v>
      </c>
      <c r="C17" t="str">
        <f>IF(B17&gt;8000,"High Value","Normal")</f>
        <v>Normal</v>
      </c>
    </row>
    <row r="18" spans="1:3" x14ac:dyDescent="0.3">
      <c r="A18" s="4" t="s">
        <v>96</v>
      </c>
      <c r="B18" s="31">
        <f>SUMIFS('Final Project Dataset'!$N$2:$N$251,'Final Project Dataset'!$D$2:$D$251,'Top 5 Customers'!A18)</f>
        <v>4789.7900000000009</v>
      </c>
      <c r="C18" t="str">
        <f>IF(B18&gt;8000,"High Value","Normal")</f>
        <v>Normal</v>
      </c>
    </row>
    <row r="19" spans="1:3" x14ac:dyDescent="0.3">
      <c r="A19" s="4" t="s">
        <v>99</v>
      </c>
      <c r="B19" s="31">
        <f>SUMIFS('Final Project Dataset'!$N$2:$N$251,'Final Project Dataset'!$D$2:$D$251,'Top 5 Customers'!A19)</f>
        <v>10649.8</v>
      </c>
      <c r="C19" t="str">
        <f>IF(B19&gt;8000,"High Value","Normal")</f>
        <v>High Value</v>
      </c>
    </row>
    <row r="20" spans="1:3" x14ac:dyDescent="0.3">
      <c r="A20" s="4" t="s">
        <v>102</v>
      </c>
      <c r="B20" s="31">
        <f>SUMIFS('Final Project Dataset'!$N$2:$N$251,'Final Project Dataset'!$D$2:$D$251,'Top 5 Customers'!A20)</f>
        <v>9799.73</v>
      </c>
      <c r="C20" t="str">
        <f>IF(B20&gt;8000,"High Value","Normal")</f>
        <v>High Value</v>
      </c>
    </row>
    <row r="21" spans="1:3" x14ac:dyDescent="0.3">
      <c r="A21" s="4" t="s">
        <v>105</v>
      </c>
      <c r="B21" s="31">
        <f>SUMIFS('Final Project Dataset'!$N$2:$N$251,'Final Project Dataset'!$D$2:$D$251,'Top 5 Customers'!A21)</f>
        <v>3769.8300000000004</v>
      </c>
      <c r="C21" t="str">
        <f>IF(B21&gt;8000,"High Value","Normal")</f>
        <v>Normal</v>
      </c>
    </row>
    <row r="22" spans="1:3" x14ac:dyDescent="0.3">
      <c r="A22" s="4" t="s">
        <v>111</v>
      </c>
      <c r="B22" s="31">
        <f>SUMIFS('Final Project Dataset'!$N$2:$N$251,'Final Project Dataset'!$D$2:$D$251,'Top 5 Customers'!A22)</f>
        <v>4189.7700000000004</v>
      </c>
      <c r="C22" t="str">
        <f>IF(B22&gt;8000,"High Value","Normal")</f>
        <v>Normal</v>
      </c>
    </row>
    <row r="23" spans="1:3" x14ac:dyDescent="0.3">
      <c r="A23" s="4" t="s">
        <v>115</v>
      </c>
      <c r="B23" s="31">
        <f>SUMIFS('Final Project Dataset'!$N$2:$N$251,'Final Project Dataset'!$D$2:$D$251,'Top 5 Customers'!A23)</f>
        <v>1289.9000000000001</v>
      </c>
      <c r="C23" t="str">
        <f>IF(B23&gt;8000,"High Value","Normal")</f>
        <v>Normal</v>
      </c>
    </row>
    <row r="24" spans="1:3" x14ac:dyDescent="0.3">
      <c r="A24" s="4" t="s">
        <v>123</v>
      </c>
      <c r="B24" s="31">
        <f>SUMIFS('Final Project Dataset'!$N$2:$N$251,'Final Project Dataset'!$D$2:$D$251,'Top 5 Customers'!A24)</f>
        <v>6459.79</v>
      </c>
      <c r="C24" t="str">
        <f>IF(B24&gt;8000,"High Value","Normal")</f>
        <v>Normal</v>
      </c>
    </row>
    <row r="25" spans="1:3" x14ac:dyDescent="0.3">
      <c r="A25" s="4" t="s">
        <v>126</v>
      </c>
      <c r="B25" s="31">
        <f>SUMIFS('Final Project Dataset'!$N$2:$N$251,'Final Project Dataset'!$D$2:$D$251,'Top 5 Customers'!A25)</f>
        <v>11919.769999999999</v>
      </c>
      <c r="C25" t="str">
        <f>IF(B25&gt;8000,"High Value","Normal")</f>
        <v>High Value</v>
      </c>
    </row>
    <row r="26" spans="1:3" x14ac:dyDescent="0.3">
      <c r="A26" s="4" t="s">
        <v>132</v>
      </c>
      <c r="B26" s="31">
        <f>SUMIFS('Final Project Dataset'!$N$2:$N$251,'Final Project Dataset'!$D$2:$D$251,'Top 5 Customers'!A26)</f>
        <v>2039.8000000000002</v>
      </c>
      <c r="C26" t="str">
        <f>IF(B26&gt;8000,"High Value","Normal")</f>
        <v>Normal</v>
      </c>
    </row>
    <row r="27" spans="1:3" x14ac:dyDescent="0.3">
      <c r="A27" s="4" t="s">
        <v>135</v>
      </c>
      <c r="B27" s="31">
        <f>SUMIFS('Final Project Dataset'!$N$2:$N$251,'Final Project Dataset'!$D$2:$D$251,'Top 5 Customers'!A27)</f>
        <v>1229.8800000000001</v>
      </c>
      <c r="C27" t="str">
        <f>IF(B27&gt;8000,"High Value","Normal")</f>
        <v>Normal</v>
      </c>
    </row>
    <row r="28" spans="1:3" x14ac:dyDescent="0.3">
      <c r="A28" s="4" t="s">
        <v>141</v>
      </c>
      <c r="B28" s="31">
        <f>SUMIFS('Final Project Dataset'!$N$2:$N$251,'Final Project Dataset'!$D$2:$D$251,'Top 5 Customers'!A28)</f>
        <v>2649.83</v>
      </c>
      <c r="C28" t="str">
        <f>IF(B28&gt;8000,"High Value","Normal")</f>
        <v>Normal</v>
      </c>
    </row>
    <row r="29" spans="1:3" x14ac:dyDescent="0.3">
      <c r="A29" s="4" t="s">
        <v>144</v>
      </c>
      <c r="B29" s="31">
        <f>SUMIFS('Final Project Dataset'!$N$2:$N$251,'Final Project Dataset'!$D$2:$D$251,'Top 5 Customers'!A29)</f>
        <v>4739.8500000000004</v>
      </c>
      <c r="C29" t="str">
        <f>IF(B29&gt;8000,"High Value","Normal")</f>
        <v>Normal</v>
      </c>
    </row>
    <row r="30" spans="1:3" x14ac:dyDescent="0.3">
      <c r="A30" s="4" t="s">
        <v>147</v>
      </c>
      <c r="B30" s="31">
        <f>SUMIFS('Final Project Dataset'!$N$2:$N$251,'Final Project Dataset'!$D$2:$D$251,'Top 5 Customers'!A30)</f>
        <v>5519.8899999999994</v>
      </c>
      <c r="C30" t="str">
        <f>IF(B30&gt;8000,"High Value","Normal")</f>
        <v>Normal</v>
      </c>
    </row>
    <row r="31" spans="1:3" x14ac:dyDescent="0.3">
      <c r="A31" s="4" t="s">
        <v>150</v>
      </c>
      <c r="B31" s="31">
        <f>SUMIFS('Final Project Dataset'!$N$2:$N$251,'Final Project Dataset'!$D$2:$D$251,'Top 5 Customers'!A31)</f>
        <v>7309.7999999999993</v>
      </c>
      <c r="C31" t="str">
        <f>IF(B31&gt;8000,"High Value","Normal")</f>
        <v>Normal</v>
      </c>
    </row>
    <row r="32" spans="1:3" x14ac:dyDescent="0.3">
      <c r="A32" s="4" t="s">
        <v>153</v>
      </c>
      <c r="B32" s="31">
        <f>SUMIFS('Final Project Dataset'!$N$2:$N$251,'Final Project Dataset'!$D$2:$D$251,'Top 5 Customers'!A32)</f>
        <v>5619.869999999999</v>
      </c>
      <c r="C32" t="str">
        <f>IF(B32&gt;8000,"High Value","Normal")</f>
        <v>Normal</v>
      </c>
    </row>
    <row r="33" spans="1:3" x14ac:dyDescent="0.3">
      <c r="A33" s="4" t="s">
        <v>157</v>
      </c>
      <c r="B33" s="31">
        <f>SUMIFS('Final Project Dataset'!$N$2:$N$251,'Final Project Dataset'!$D$2:$D$251,'Top 5 Customers'!A33)</f>
        <v>5499.8099999999995</v>
      </c>
      <c r="C33" t="str">
        <f>IF(B33&gt;8000,"High Value","Normal")</f>
        <v>Normal</v>
      </c>
    </row>
    <row r="34" spans="1:3" x14ac:dyDescent="0.3">
      <c r="A34" s="4" t="s">
        <v>161</v>
      </c>
      <c r="B34" s="31">
        <f>SUMIFS('Final Project Dataset'!$N$2:$N$251,'Final Project Dataset'!$D$2:$D$251,'Top 5 Customers'!A34)</f>
        <v>5649.84</v>
      </c>
      <c r="C34" t="str">
        <f>IF(B34&gt;8000,"High Value","Normal")</f>
        <v>Normal</v>
      </c>
    </row>
    <row r="35" spans="1:3" x14ac:dyDescent="0.3">
      <c r="A35" s="4" t="s">
        <v>165</v>
      </c>
      <c r="B35" s="31">
        <f>SUMIFS('Final Project Dataset'!$N$2:$N$251,'Final Project Dataset'!$D$2:$D$251,'Top 5 Customers'!A35)</f>
        <v>239.96</v>
      </c>
      <c r="C35" t="str">
        <f>IF(B35&gt;8000,"High Value","Normal")</f>
        <v>Normal</v>
      </c>
    </row>
    <row r="36" spans="1:3" x14ac:dyDescent="0.3">
      <c r="A36" s="4" t="s">
        <v>174</v>
      </c>
      <c r="B36" s="31">
        <f>SUMIFS('Final Project Dataset'!$N$2:$N$251,'Final Project Dataset'!$D$2:$D$251,'Top 5 Customers'!A36)</f>
        <v>3669.8500000000004</v>
      </c>
      <c r="C36" t="str">
        <f>IF(B36&gt;8000,"High Value","Normal")</f>
        <v>Normal</v>
      </c>
    </row>
    <row r="37" spans="1:3" x14ac:dyDescent="0.3">
      <c r="A37" s="4" t="s">
        <v>185</v>
      </c>
      <c r="B37" s="31">
        <f>SUMIFS('Final Project Dataset'!$N$2:$N$251,'Final Project Dataset'!$D$2:$D$251,'Top 5 Customers'!A37)</f>
        <v>1809.84</v>
      </c>
      <c r="C37" t="str">
        <f>IF(B37&gt;8000,"High Value","Normal")</f>
        <v>Normal</v>
      </c>
    </row>
    <row r="38" spans="1:3" x14ac:dyDescent="0.3">
      <c r="A38" s="4" t="s">
        <v>188</v>
      </c>
      <c r="B38" s="31">
        <f>SUMIFS('Final Project Dataset'!$N$2:$N$251,'Final Project Dataset'!$D$2:$D$251,'Top 5 Customers'!A38)</f>
        <v>2099.88</v>
      </c>
      <c r="C38" t="str">
        <f>IF(B38&gt;8000,"High Value","Normal")</f>
        <v>Normal</v>
      </c>
    </row>
    <row r="39" spans="1:3" x14ac:dyDescent="0.3">
      <c r="A39" s="4" t="s">
        <v>195</v>
      </c>
      <c r="B39" s="31">
        <f>SUMIFS('Final Project Dataset'!$N$2:$N$251,'Final Project Dataset'!$D$2:$D$251,'Top 5 Customers'!A39)</f>
        <v>1479.91</v>
      </c>
      <c r="C39" t="str">
        <f>IF(B39&gt;8000,"High Value","Normal")</f>
        <v>Normal</v>
      </c>
    </row>
    <row r="40" spans="1:3" x14ac:dyDescent="0.3">
      <c r="A40" s="4" t="s">
        <v>199</v>
      </c>
      <c r="B40" s="31">
        <f>SUMIFS('Final Project Dataset'!$N$2:$N$251,'Final Project Dataset'!$D$2:$D$251,'Top 5 Customers'!A40)</f>
        <v>6379.87</v>
      </c>
      <c r="C40" t="str">
        <f>IF(B40&gt;8000,"High Value","Normal")</f>
        <v>Normal</v>
      </c>
    </row>
    <row r="41" spans="1:3" x14ac:dyDescent="0.3">
      <c r="A41" s="4" t="s">
        <v>214</v>
      </c>
      <c r="B41" s="31">
        <f>SUMIFS('Final Project Dataset'!$N$2:$N$251,'Final Project Dataset'!$D$2:$D$251,'Top 5 Customers'!A41)</f>
        <v>3649.8599999999997</v>
      </c>
      <c r="C41" t="str">
        <f>IF(B41&gt;8000,"High Value","Normal")</f>
        <v>Normal</v>
      </c>
    </row>
    <row r="42" spans="1:3" x14ac:dyDescent="0.3">
      <c r="A42" s="4" t="s">
        <v>229</v>
      </c>
      <c r="B42" s="31">
        <f>SUMIFS('Final Project Dataset'!$N$2:$N$251,'Final Project Dataset'!$D$2:$D$251,'Top 5 Customers'!A42)</f>
        <v>6989.7699999999986</v>
      </c>
      <c r="C42" t="str">
        <f>IF(B42&gt;8000,"High Value","Normal")</f>
        <v>Normal</v>
      </c>
    </row>
    <row r="43" spans="1:3" x14ac:dyDescent="0.3">
      <c r="A43" s="4" t="s">
        <v>234</v>
      </c>
      <c r="B43" s="31">
        <f>SUMIFS('Final Project Dataset'!$N$2:$N$251,'Final Project Dataset'!$D$2:$D$251,'Top 5 Customers'!A43)</f>
        <v>1149.93</v>
      </c>
      <c r="C43" t="str">
        <f>IF(B43&gt;8000,"High Value","Normal")</f>
        <v>Normal</v>
      </c>
    </row>
    <row r="44" spans="1:3" x14ac:dyDescent="0.3">
      <c r="A44" s="4" t="s">
        <v>237</v>
      </c>
      <c r="B44" s="31">
        <f>SUMIFS('Final Project Dataset'!$N$2:$N$251,'Final Project Dataset'!$D$2:$D$251,'Top 5 Customers'!A44)</f>
        <v>6349.83</v>
      </c>
      <c r="C44" t="str">
        <f>IF(B44&gt;8000,"High Value","Normal")</f>
        <v>Normal</v>
      </c>
    </row>
    <row r="45" spans="1:3" x14ac:dyDescent="0.3">
      <c r="A45" s="4" t="s">
        <v>249</v>
      </c>
      <c r="B45" s="31">
        <f>SUMIFS('Final Project Dataset'!$N$2:$N$251,'Final Project Dataset'!$D$2:$D$251,'Top 5 Customers'!A45)</f>
        <v>1749.92</v>
      </c>
      <c r="C45" t="str">
        <f>IF(B45&gt;8000,"High Value","Normal")</f>
        <v>Normal</v>
      </c>
    </row>
    <row r="46" spans="1:3" x14ac:dyDescent="0.3">
      <c r="A46" s="4" t="s">
        <v>255</v>
      </c>
      <c r="B46" s="31">
        <f>SUMIFS('Final Project Dataset'!$N$2:$N$251,'Final Project Dataset'!$D$2:$D$251,'Top 5 Customers'!A46)</f>
        <v>4749.91</v>
      </c>
      <c r="C46" t="str">
        <f>IF(B46&gt;8000,"High Value","Normal")</f>
        <v>Normal</v>
      </c>
    </row>
    <row r="47" spans="1:3" x14ac:dyDescent="0.3">
      <c r="A47" s="4" t="s">
        <v>262</v>
      </c>
      <c r="B47" s="31">
        <f>SUMIFS('Final Project Dataset'!$N$2:$N$251,'Final Project Dataset'!$D$2:$D$251,'Top 5 Customers'!A47)</f>
        <v>739.93000000000006</v>
      </c>
      <c r="C47" t="str">
        <f>IF(B47&gt;8000,"High Value","Normal")</f>
        <v>Normal</v>
      </c>
    </row>
    <row r="48" spans="1:3" x14ac:dyDescent="0.3">
      <c r="A48" s="4" t="s">
        <v>296</v>
      </c>
      <c r="B48" s="31">
        <f>SUMIFS('Final Project Dataset'!$N$2:$N$251,'Final Project Dataset'!$D$2:$D$251,'Top 5 Customers'!A48)</f>
        <v>4829.8899999999994</v>
      </c>
      <c r="C48" t="str">
        <f>IF(B48&gt;8000,"High Value","Normal")</f>
        <v>Normal</v>
      </c>
    </row>
    <row r="49" spans="1:3" x14ac:dyDescent="0.3">
      <c r="A49" s="4" t="s">
        <v>307</v>
      </c>
      <c r="B49" s="31">
        <f>SUMIFS('Final Project Dataset'!$N$2:$N$251,'Final Project Dataset'!$D$2:$D$251,'Top 5 Customers'!A49)</f>
        <v>179.97</v>
      </c>
      <c r="C49" t="str">
        <f>IF(B49&gt;8000,"High Value","Normal")</f>
        <v>Normal</v>
      </c>
    </row>
    <row r="50" spans="1:3" x14ac:dyDescent="0.3">
      <c r="A50" s="4" t="s">
        <v>328</v>
      </c>
      <c r="B50" s="31">
        <f>SUMIFS('Final Project Dataset'!$N$2:$N$251,'Final Project Dataset'!$D$2:$D$251,'Top 5 Customers'!A50)</f>
        <v>1559.94</v>
      </c>
      <c r="C50" t="str">
        <f>IF(B50&gt;8000,"High Value","Normal")</f>
        <v>Normal</v>
      </c>
    </row>
    <row r="51" spans="1:3" x14ac:dyDescent="0.3">
      <c r="A51" s="4" t="s">
        <v>389</v>
      </c>
      <c r="B51" s="31">
        <f>SUMIFS('Final Project Dataset'!$N$2:$N$251,'Final Project Dataset'!$D$2:$D$251,'Top 5 Customers'!A51)</f>
        <v>599.96</v>
      </c>
      <c r="C51" t="str">
        <f>IF(B51&gt;8000,"High Value","Normal")</f>
        <v>Normal</v>
      </c>
    </row>
  </sheetData>
  <autoFilter ref="A1:C51" xr:uid="{AF7C94EB-74A7-4912-AAF2-63E55968B0D4}"/>
  <sortState xmlns:xlrd2="http://schemas.microsoft.com/office/spreadsheetml/2017/richdata2" ref="H2:H10">
    <sortCondition descending="1" ref="H2:H10"/>
  </sortState>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0F10E-4A54-4C85-878A-DC66B360C502}">
  <dimension ref="A3:B54"/>
  <sheetViews>
    <sheetView workbookViewId="0">
      <selection activeCell="D46" sqref="D46"/>
    </sheetView>
  </sheetViews>
  <sheetFormatPr defaultRowHeight="14.4" x14ac:dyDescent="0.3"/>
  <cols>
    <col min="1" max="1" width="15.109375" bestFit="1" customWidth="1"/>
    <col min="2" max="2" width="19.77734375" bestFit="1" customWidth="1"/>
  </cols>
  <sheetData>
    <row r="3" spans="1:2" x14ac:dyDescent="0.3">
      <c r="A3" s="10" t="s">
        <v>407</v>
      </c>
      <c r="B3" t="s">
        <v>410</v>
      </c>
    </row>
    <row r="4" spans="1:2" x14ac:dyDescent="0.3">
      <c r="A4" s="11" t="s">
        <v>328</v>
      </c>
      <c r="B4" s="30">
        <v>1559.94</v>
      </c>
    </row>
    <row r="5" spans="1:2" x14ac:dyDescent="0.3">
      <c r="A5" s="11" t="s">
        <v>99</v>
      </c>
      <c r="B5" s="30">
        <v>10649.8</v>
      </c>
    </row>
    <row r="6" spans="1:2" x14ac:dyDescent="0.3">
      <c r="A6" s="11" t="s">
        <v>161</v>
      </c>
      <c r="B6" s="30">
        <v>5649.84</v>
      </c>
    </row>
    <row r="7" spans="1:2" x14ac:dyDescent="0.3">
      <c r="A7" s="11" t="s">
        <v>234</v>
      </c>
      <c r="B7" s="30">
        <v>1149.93</v>
      </c>
    </row>
    <row r="8" spans="1:2" x14ac:dyDescent="0.3">
      <c r="A8" s="11" t="s">
        <v>58</v>
      </c>
      <c r="B8" s="30">
        <v>5089.7300000000005</v>
      </c>
    </row>
    <row r="9" spans="1:2" x14ac:dyDescent="0.3">
      <c r="A9" s="11" t="s">
        <v>105</v>
      </c>
      <c r="B9" s="30">
        <v>3769.8300000000004</v>
      </c>
    </row>
    <row r="10" spans="1:2" x14ac:dyDescent="0.3">
      <c r="A10" s="11" t="s">
        <v>150</v>
      </c>
      <c r="B10" s="30">
        <v>7309.7999999999993</v>
      </c>
    </row>
    <row r="11" spans="1:2" x14ac:dyDescent="0.3">
      <c r="A11" s="11" t="s">
        <v>185</v>
      </c>
      <c r="B11" s="30">
        <v>1809.84</v>
      </c>
    </row>
    <row r="12" spans="1:2" x14ac:dyDescent="0.3">
      <c r="A12" s="11" t="s">
        <v>78</v>
      </c>
      <c r="B12" s="30">
        <v>479.91999999999996</v>
      </c>
    </row>
    <row r="13" spans="1:2" x14ac:dyDescent="0.3">
      <c r="A13" s="11" t="s">
        <v>51</v>
      </c>
      <c r="B13" s="30">
        <v>8269.7900000000009</v>
      </c>
    </row>
    <row r="14" spans="1:2" x14ac:dyDescent="0.3">
      <c r="A14" s="11" t="s">
        <v>296</v>
      </c>
      <c r="B14" s="30">
        <v>4829.8899999999994</v>
      </c>
    </row>
    <row r="15" spans="1:2" x14ac:dyDescent="0.3">
      <c r="A15" s="11" t="s">
        <v>126</v>
      </c>
      <c r="B15" s="30">
        <v>11919.769999999999</v>
      </c>
    </row>
    <row r="16" spans="1:2" x14ac:dyDescent="0.3">
      <c r="A16" s="11" t="s">
        <v>214</v>
      </c>
      <c r="B16" s="30">
        <v>3649.8599999999997</v>
      </c>
    </row>
    <row r="17" spans="1:2" x14ac:dyDescent="0.3">
      <c r="A17" s="11" t="s">
        <v>135</v>
      </c>
      <c r="B17" s="30">
        <v>1229.8800000000001</v>
      </c>
    </row>
    <row r="18" spans="1:2" x14ac:dyDescent="0.3">
      <c r="A18" s="11" t="s">
        <v>195</v>
      </c>
      <c r="B18" s="30">
        <v>1479.91</v>
      </c>
    </row>
    <row r="19" spans="1:2" x14ac:dyDescent="0.3">
      <c r="A19" s="11" t="s">
        <v>86</v>
      </c>
      <c r="B19" s="30">
        <v>3779.93</v>
      </c>
    </row>
    <row r="20" spans="1:2" x14ac:dyDescent="0.3">
      <c r="A20" s="11" t="s">
        <v>199</v>
      </c>
      <c r="B20" s="30">
        <v>6379.87</v>
      </c>
    </row>
    <row r="21" spans="1:2" x14ac:dyDescent="0.3">
      <c r="A21" s="11" t="s">
        <v>147</v>
      </c>
      <c r="B21" s="30">
        <v>5519.8899999999994</v>
      </c>
    </row>
    <row r="22" spans="1:2" x14ac:dyDescent="0.3">
      <c r="A22" s="11" t="s">
        <v>123</v>
      </c>
      <c r="B22" s="30">
        <v>6459.79</v>
      </c>
    </row>
    <row r="23" spans="1:2" x14ac:dyDescent="0.3">
      <c r="A23" s="11" t="s">
        <v>307</v>
      </c>
      <c r="B23" s="30">
        <v>179.97</v>
      </c>
    </row>
    <row r="24" spans="1:2" x14ac:dyDescent="0.3">
      <c r="A24" s="11" t="s">
        <v>144</v>
      </c>
      <c r="B24" s="30">
        <v>4739.8500000000004</v>
      </c>
    </row>
    <row r="25" spans="1:2" x14ac:dyDescent="0.3">
      <c r="A25" s="11" t="s">
        <v>389</v>
      </c>
      <c r="B25" s="30">
        <v>599.96</v>
      </c>
    </row>
    <row r="26" spans="1:2" x14ac:dyDescent="0.3">
      <c r="A26" s="11" t="s">
        <v>27</v>
      </c>
      <c r="B26" s="30">
        <v>6949.84</v>
      </c>
    </row>
    <row r="27" spans="1:2" x14ac:dyDescent="0.3">
      <c r="A27" s="11" t="s">
        <v>165</v>
      </c>
      <c r="B27" s="30">
        <v>239.96</v>
      </c>
    </row>
    <row r="28" spans="1:2" x14ac:dyDescent="0.3">
      <c r="A28" s="11" t="s">
        <v>68</v>
      </c>
      <c r="B28" s="30">
        <v>8009.7699999999995</v>
      </c>
    </row>
    <row r="29" spans="1:2" x14ac:dyDescent="0.3">
      <c r="A29" s="11" t="s">
        <v>41</v>
      </c>
      <c r="B29" s="30">
        <v>4309.8099999999995</v>
      </c>
    </row>
    <row r="30" spans="1:2" x14ac:dyDescent="0.3">
      <c r="A30" s="11" t="s">
        <v>32</v>
      </c>
      <c r="B30" s="30">
        <v>3259.87</v>
      </c>
    </row>
    <row r="31" spans="1:2" x14ac:dyDescent="0.3">
      <c r="A31" s="11" t="s">
        <v>229</v>
      </c>
      <c r="B31" s="30">
        <v>6989.7699999999986</v>
      </c>
    </row>
    <row r="32" spans="1:2" x14ac:dyDescent="0.3">
      <c r="A32" s="11" t="s">
        <v>115</v>
      </c>
      <c r="B32" s="30">
        <v>1289.9000000000001</v>
      </c>
    </row>
    <row r="33" spans="1:2" x14ac:dyDescent="0.3">
      <c r="A33" s="11" t="s">
        <v>132</v>
      </c>
      <c r="B33" s="30">
        <v>2039.8000000000002</v>
      </c>
    </row>
    <row r="34" spans="1:2" x14ac:dyDescent="0.3">
      <c r="A34" s="11" t="s">
        <v>188</v>
      </c>
      <c r="B34" s="30">
        <v>2099.88</v>
      </c>
    </row>
    <row r="35" spans="1:2" x14ac:dyDescent="0.3">
      <c r="A35" s="11" t="s">
        <v>92</v>
      </c>
      <c r="B35" s="30">
        <v>1909.93</v>
      </c>
    </row>
    <row r="36" spans="1:2" x14ac:dyDescent="0.3">
      <c r="A36" s="11" t="s">
        <v>89</v>
      </c>
      <c r="B36" s="30">
        <v>15659.65</v>
      </c>
    </row>
    <row r="37" spans="1:2" x14ac:dyDescent="0.3">
      <c r="A37" s="11" t="s">
        <v>45</v>
      </c>
      <c r="B37" s="30">
        <v>6169.7400000000007</v>
      </c>
    </row>
    <row r="38" spans="1:2" x14ac:dyDescent="0.3">
      <c r="A38" s="11" t="s">
        <v>81</v>
      </c>
      <c r="B38" s="30">
        <v>4199.9399999999996</v>
      </c>
    </row>
    <row r="39" spans="1:2" x14ac:dyDescent="0.3">
      <c r="A39" s="11" t="s">
        <v>111</v>
      </c>
      <c r="B39" s="30">
        <v>4189.7700000000004</v>
      </c>
    </row>
    <row r="40" spans="1:2" x14ac:dyDescent="0.3">
      <c r="A40" s="11" t="s">
        <v>102</v>
      </c>
      <c r="B40" s="30">
        <v>9799.73</v>
      </c>
    </row>
    <row r="41" spans="1:2" x14ac:dyDescent="0.3">
      <c r="A41" s="11" t="s">
        <v>18</v>
      </c>
      <c r="B41" s="30">
        <v>8309.739999999998</v>
      </c>
    </row>
    <row r="42" spans="1:2" x14ac:dyDescent="0.3">
      <c r="A42" s="11" t="s">
        <v>75</v>
      </c>
      <c r="B42" s="30">
        <v>5949.85</v>
      </c>
    </row>
    <row r="43" spans="1:2" x14ac:dyDescent="0.3">
      <c r="A43" s="11" t="s">
        <v>174</v>
      </c>
      <c r="B43" s="30">
        <v>3669.8500000000004</v>
      </c>
    </row>
    <row r="44" spans="1:2" x14ac:dyDescent="0.3">
      <c r="A44" s="11" t="s">
        <v>262</v>
      </c>
      <c r="B44" s="30">
        <v>739.93000000000006</v>
      </c>
    </row>
    <row r="45" spans="1:2" x14ac:dyDescent="0.3">
      <c r="A45" s="11" t="s">
        <v>62</v>
      </c>
      <c r="B45" s="30">
        <v>3509.8999999999996</v>
      </c>
    </row>
    <row r="46" spans="1:2" x14ac:dyDescent="0.3">
      <c r="A46" s="11" t="s">
        <v>249</v>
      </c>
      <c r="B46" s="30">
        <v>1749.92</v>
      </c>
    </row>
    <row r="47" spans="1:2" x14ac:dyDescent="0.3">
      <c r="A47" s="11" t="s">
        <v>237</v>
      </c>
      <c r="B47" s="30">
        <v>6349.83</v>
      </c>
    </row>
    <row r="48" spans="1:2" x14ac:dyDescent="0.3">
      <c r="A48" s="11" t="s">
        <v>157</v>
      </c>
      <c r="B48" s="30">
        <v>5499.8099999999995</v>
      </c>
    </row>
    <row r="49" spans="1:2" x14ac:dyDescent="0.3">
      <c r="A49" s="11" t="s">
        <v>153</v>
      </c>
      <c r="B49" s="30">
        <v>5619.869999999999</v>
      </c>
    </row>
    <row r="50" spans="1:2" x14ac:dyDescent="0.3">
      <c r="A50" s="11" t="s">
        <v>141</v>
      </c>
      <c r="B50" s="30">
        <v>2649.83</v>
      </c>
    </row>
    <row r="51" spans="1:2" x14ac:dyDescent="0.3">
      <c r="A51" s="11" t="s">
        <v>71</v>
      </c>
      <c r="B51" s="30">
        <v>1979.89</v>
      </c>
    </row>
    <row r="52" spans="1:2" x14ac:dyDescent="0.3">
      <c r="A52" s="11" t="s">
        <v>96</v>
      </c>
      <c r="B52" s="30">
        <v>4789.7900000000009</v>
      </c>
    </row>
    <row r="53" spans="1:2" x14ac:dyDescent="0.3">
      <c r="A53" s="11" t="s">
        <v>255</v>
      </c>
      <c r="B53" s="30">
        <v>4749.91</v>
      </c>
    </row>
    <row r="54" spans="1:2" x14ac:dyDescent="0.3">
      <c r="A54" s="11" t="s">
        <v>408</v>
      </c>
      <c r="B54" s="30">
        <v>229192.46999999997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98EA-A6C3-4E5D-950A-90912C3074B2}">
  <dimension ref="A3:B21"/>
  <sheetViews>
    <sheetView workbookViewId="0">
      <selection activeCell="D3" sqref="D2:E3"/>
    </sheetView>
  </sheetViews>
  <sheetFormatPr defaultRowHeight="14.4" x14ac:dyDescent="0.3"/>
  <cols>
    <col min="1" max="1" width="12.5546875" bestFit="1" customWidth="1"/>
    <col min="2" max="2" width="19.77734375" bestFit="1" customWidth="1"/>
  </cols>
  <sheetData>
    <row r="3" spans="1:2" x14ac:dyDescent="0.3">
      <c r="A3" s="10" t="s">
        <v>407</v>
      </c>
      <c r="B3" t="s">
        <v>410</v>
      </c>
    </row>
    <row r="4" spans="1:2" x14ac:dyDescent="0.3">
      <c r="A4" s="11" t="s">
        <v>449</v>
      </c>
      <c r="B4" s="30">
        <v>38488.78</v>
      </c>
    </row>
    <row r="5" spans="1:2" x14ac:dyDescent="0.3">
      <c r="A5" s="12" t="s">
        <v>411</v>
      </c>
      <c r="B5" s="30">
        <v>4949.8600000000006</v>
      </c>
    </row>
    <row r="6" spans="1:2" x14ac:dyDescent="0.3">
      <c r="A6" s="12" t="s">
        <v>412</v>
      </c>
      <c r="B6" s="30">
        <v>6069.76</v>
      </c>
    </row>
    <row r="7" spans="1:2" x14ac:dyDescent="0.3">
      <c r="A7" s="12" t="s">
        <v>413</v>
      </c>
      <c r="B7" s="30">
        <v>13719.63</v>
      </c>
    </row>
    <row r="8" spans="1:2" x14ac:dyDescent="0.3">
      <c r="A8" s="12" t="s">
        <v>414</v>
      </c>
      <c r="B8" s="30">
        <v>5379.79</v>
      </c>
    </row>
    <row r="9" spans="1:2" x14ac:dyDescent="0.3">
      <c r="A9" s="12" t="s">
        <v>415</v>
      </c>
      <c r="B9" s="30">
        <v>8369.74</v>
      </c>
    </row>
    <row r="10" spans="1:2" x14ac:dyDescent="0.3">
      <c r="A10" s="11" t="s">
        <v>409</v>
      </c>
      <c r="B10" s="30">
        <v>32058.98</v>
      </c>
    </row>
    <row r="11" spans="1:2" x14ac:dyDescent="0.3">
      <c r="A11" s="12" t="s">
        <v>420</v>
      </c>
      <c r="B11" s="30">
        <v>12939.560000000003</v>
      </c>
    </row>
    <row r="12" spans="1:2" x14ac:dyDescent="0.3">
      <c r="A12" s="12" t="s">
        <v>421</v>
      </c>
      <c r="B12" s="30">
        <v>4929.78</v>
      </c>
    </row>
    <row r="13" spans="1:2" x14ac:dyDescent="0.3">
      <c r="A13" s="12" t="s">
        <v>422</v>
      </c>
      <c r="B13" s="30">
        <v>11219.699999999999</v>
      </c>
    </row>
    <row r="14" spans="1:2" x14ac:dyDescent="0.3">
      <c r="A14" s="12" t="s">
        <v>411</v>
      </c>
      <c r="B14" s="30">
        <v>2969.9399999999996</v>
      </c>
    </row>
    <row r="15" spans="1:2" x14ac:dyDescent="0.3">
      <c r="A15" s="11" t="s">
        <v>408</v>
      </c>
      <c r="B15" s="30">
        <v>70547.760000000009</v>
      </c>
    </row>
    <row r="21" spans="2:2" x14ac:dyDescent="0.3">
      <c r="B21" s="44">
        <f>GETPIVOTDATA("Total_Amount",$A$3)</f>
        <v>70547.760000000009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7783-349E-4736-99B6-3A3E8F195BA3}">
  <dimension ref="A3:B7"/>
  <sheetViews>
    <sheetView workbookViewId="0">
      <selection activeCell="N4" sqref="N4"/>
    </sheetView>
  </sheetViews>
  <sheetFormatPr defaultRowHeight="14.4" x14ac:dyDescent="0.3"/>
  <cols>
    <col min="1" max="1" width="12.5546875" bestFit="1" customWidth="1"/>
    <col min="2" max="2" width="19.77734375" bestFit="1" customWidth="1"/>
  </cols>
  <sheetData>
    <row r="3" spans="1:2" x14ac:dyDescent="0.3">
      <c r="A3" s="10" t="s">
        <v>407</v>
      </c>
      <c r="B3" t="s">
        <v>410</v>
      </c>
    </row>
    <row r="4" spans="1:2" x14ac:dyDescent="0.3">
      <c r="A4" s="11" t="s">
        <v>35</v>
      </c>
      <c r="B4" s="30">
        <v>3019.5599999999995</v>
      </c>
    </row>
    <row r="5" spans="1:2" x14ac:dyDescent="0.3">
      <c r="A5" s="11" t="s">
        <v>21</v>
      </c>
      <c r="B5" s="30">
        <v>55628.779999999992</v>
      </c>
    </row>
    <row r="6" spans="1:2" x14ac:dyDescent="0.3">
      <c r="A6" s="11" t="s">
        <v>48</v>
      </c>
      <c r="B6" s="30">
        <v>11899.419999999998</v>
      </c>
    </row>
    <row r="7" spans="1:2" x14ac:dyDescent="0.3">
      <c r="A7" s="11" t="s">
        <v>408</v>
      </c>
      <c r="B7" s="30">
        <v>70547.75999999998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C2128-EAC1-4820-9A31-FCED64B0CCAC}">
  <dimension ref="A3:B6"/>
  <sheetViews>
    <sheetView workbookViewId="0">
      <selection activeCell="L21" sqref="L21"/>
    </sheetView>
  </sheetViews>
  <sheetFormatPr defaultRowHeight="14.4" x14ac:dyDescent="0.3"/>
  <cols>
    <col min="1" max="1" width="12.5546875" bestFit="1" customWidth="1"/>
    <col min="2" max="2" width="19.77734375" bestFit="1" customWidth="1"/>
  </cols>
  <sheetData>
    <row r="3" spans="1:2" x14ac:dyDescent="0.3">
      <c r="A3" s="10" t="s">
        <v>407</v>
      </c>
      <c r="B3" t="s">
        <v>410</v>
      </c>
    </row>
    <row r="4" spans="1:2" x14ac:dyDescent="0.3">
      <c r="A4" s="11" t="s">
        <v>23</v>
      </c>
      <c r="B4" s="30">
        <v>26098.930000000011</v>
      </c>
    </row>
    <row r="5" spans="1:2" x14ac:dyDescent="0.3">
      <c r="A5" s="11" t="s">
        <v>65</v>
      </c>
      <c r="B5" s="30">
        <v>44448.830000000009</v>
      </c>
    </row>
    <row r="6" spans="1:2" x14ac:dyDescent="0.3">
      <c r="A6" s="11" t="s">
        <v>408</v>
      </c>
      <c r="B6" s="30">
        <v>70547.760000000024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A82B-9B3F-4D96-8E17-A0CFE9044EC5}">
  <dimension ref="A3:B14"/>
  <sheetViews>
    <sheetView workbookViewId="0">
      <selection activeCell="L8" sqref="L8"/>
    </sheetView>
  </sheetViews>
  <sheetFormatPr defaultRowHeight="14.4" x14ac:dyDescent="0.3"/>
  <cols>
    <col min="1" max="1" width="12.5546875" bestFit="1" customWidth="1"/>
    <col min="2" max="2" width="19.77734375" bestFit="1" customWidth="1"/>
  </cols>
  <sheetData>
    <row r="3" spans="1:2" x14ac:dyDescent="0.3">
      <c r="A3" s="10" t="s">
        <v>407</v>
      </c>
      <c r="B3" t="s">
        <v>410</v>
      </c>
    </row>
    <row r="4" spans="1:2" x14ac:dyDescent="0.3">
      <c r="A4" s="11" t="s">
        <v>34</v>
      </c>
      <c r="B4" s="30">
        <v>1499.75</v>
      </c>
    </row>
    <row r="5" spans="1:2" x14ac:dyDescent="0.3">
      <c r="A5" s="11" t="s">
        <v>47</v>
      </c>
      <c r="B5" s="30">
        <v>4499.7</v>
      </c>
    </row>
    <row r="6" spans="1:2" x14ac:dyDescent="0.3">
      <c r="A6" s="11" t="s">
        <v>117</v>
      </c>
      <c r="B6" s="30">
        <v>1519.81</v>
      </c>
    </row>
    <row r="7" spans="1:2" x14ac:dyDescent="0.3">
      <c r="A7" s="11" t="s">
        <v>108</v>
      </c>
      <c r="B7" s="30">
        <v>5399.8200000000006</v>
      </c>
    </row>
    <row r="8" spans="1:2" x14ac:dyDescent="0.3">
      <c r="A8" s="11" t="s">
        <v>55</v>
      </c>
      <c r="B8" s="30">
        <v>2699.8199999999997</v>
      </c>
    </row>
    <row r="9" spans="1:2" x14ac:dyDescent="0.3">
      <c r="A9" s="11" t="s">
        <v>120</v>
      </c>
      <c r="B9" s="30">
        <v>1979.78</v>
      </c>
    </row>
    <row r="10" spans="1:2" x14ac:dyDescent="0.3">
      <c r="A10" s="11" t="s">
        <v>64</v>
      </c>
      <c r="B10" s="30">
        <v>29699.670000000002</v>
      </c>
    </row>
    <row r="11" spans="1:2" x14ac:dyDescent="0.3">
      <c r="A11" s="11" t="s">
        <v>20</v>
      </c>
      <c r="B11" s="30">
        <v>7249.71</v>
      </c>
    </row>
    <row r="12" spans="1:2" x14ac:dyDescent="0.3">
      <c r="A12" s="11" t="s">
        <v>129</v>
      </c>
      <c r="B12" s="30">
        <v>1999.9</v>
      </c>
    </row>
    <row r="13" spans="1:2" x14ac:dyDescent="0.3">
      <c r="A13" s="11" t="s">
        <v>83</v>
      </c>
      <c r="B13" s="30">
        <v>13999.799999999997</v>
      </c>
    </row>
    <row r="14" spans="1:2" x14ac:dyDescent="0.3">
      <c r="A14" s="11" t="s">
        <v>408</v>
      </c>
      <c r="B14" s="30">
        <v>70547.760000000009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9B0A-34BF-41E4-8706-954324A09087}">
  <dimension ref="A1:B7"/>
  <sheetViews>
    <sheetView workbookViewId="0">
      <selection activeCell="B23" sqref="B23"/>
    </sheetView>
  </sheetViews>
  <sheetFormatPr defaultRowHeight="14.4" x14ac:dyDescent="0.3"/>
  <cols>
    <col min="1" max="1" width="12.5546875" bestFit="1" customWidth="1"/>
    <col min="2" max="2" width="19.77734375" bestFit="1" customWidth="1"/>
    <col min="3" max="3" width="9" bestFit="1" customWidth="1"/>
    <col min="4" max="6" width="8" bestFit="1" customWidth="1"/>
    <col min="7" max="10" width="9" bestFit="1" customWidth="1"/>
    <col min="11" max="11" width="8" bestFit="1" customWidth="1"/>
    <col min="12" max="12" width="10.77734375" bestFit="1" customWidth="1"/>
  </cols>
  <sheetData>
    <row r="1" spans="1:2" x14ac:dyDescent="0.3">
      <c r="A1" s="10" t="s">
        <v>8</v>
      </c>
      <c r="B1" t="s">
        <v>501</v>
      </c>
    </row>
    <row r="3" spans="1:2" x14ac:dyDescent="0.3">
      <c r="A3" s="10" t="s">
        <v>407</v>
      </c>
      <c r="B3" t="s">
        <v>410</v>
      </c>
    </row>
    <row r="4" spans="1:2" x14ac:dyDescent="0.3">
      <c r="A4" s="11" t="s">
        <v>24</v>
      </c>
      <c r="B4" s="30">
        <v>17369.39</v>
      </c>
    </row>
    <row r="5" spans="1:2" x14ac:dyDescent="0.3">
      <c r="A5" s="11" t="s">
        <v>29</v>
      </c>
      <c r="B5" s="30">
        <v>30879.219999999998</v>
      </c>
    </row>
    <row r="6" spans="1:2" x14ac:dyDescent="0.3">
      <c r="A6" s="11" t="s">
        <v>38</v>
      </c>
      <c r="B6" s="30">
        <v>22299.149999999998</v>
      </c>
    </row>
    <row r="7" spans="1:2" x14ac:dyDescent="0.3">
      <c r="A7" s="11" t="s">
        <v>408</v>
      </c>
      <c r="B7" s="30">
        <v>70547.759999999995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BDC0-BEA0-45DB-A745-173C590AF9F9}">
  <dimension ref="A3:A4"/>
  <sheetViews>
    <sheetView workbookViewId="0">
      <selection activeCell="A4" sqref="A4"/>
    </sheetView>
  </sheetViews>
  <sheetFormatPr defaultRowHeight="14.4" x14ac:dyDescent="0.3"/>
  <cols>
    <col min="1" max="2" width="19.88671875" bestFit="1" customWidth="1"/>
  </cols>
  <sheetData>
    <row r="3" spans="1:1" x14ac:dyDescent="0.3">
      <c r="A3" t="s">
        <v>500</v>
      </c>
    </row>
    <row r="4" spans="1:1" x14ac:dyDescent="0.3">
      <c r="A4" s="30">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Final Project Dataset</vt:lpstr>
      <vt:lpstr>Dashboard</vt:lpstr>
      <vt:lpstr>Linear Regression</vt:lpstr>
      <vt:lpstr>Scenario Summary</vt:lpstr>
      <vt:lpstr>Top 5 Customers</vt:lpstr>
      <vt:lpstr>Pivot Table</vt:lpstr>
      <vt:lpstr>Line Chart</vt:lpstr>
      <vt:lpstr>Pie Chart</vt:lpstr>
      <vt:lpstr>Bar Chart</vt:lpstr>
      <vt:lpstr>Bar Chart1</vt:lpstr>
      <vt:lpstr>Dounut Chart</vt:lpstr>
      <vt:lpstr>Total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I T Z Z</dc:creator>
  <cp:lastModifiedBy>R I T Z Z</cp:lastModifiedBy>
  <dcterms:created xsi:type="dcterms:W3CDTF">2026-03-26T12:59:29Z</dcterms:created>
  <dcterms:modified xsi:type="dcterms:W3CDTF">2026-03-26T12:59:29Z</dcterms:modified>
</cp:coreProperties>
</file>